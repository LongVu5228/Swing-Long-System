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v\Trading\Personal Wealth\Swing Long System\Output\"/>
    </mc:Choice>
  </mc:AlternateContent>
  <xr:revisionPtr revIDLastSave="0" documentId="13_ncr:9_{80F9F38C-6C8E-431D-9ABE-4B0000FCBDBD}" xr6:coauthVersionLast="47" xr6:coauthVersionMax="47" xr10:uidLastSave="{00000000-0000-0000-0000-000000000000}"/>
  <bookViews>
    <workbookView xWindow="-110" yWindow="-110" windowWidth="25820" windowHeight="15500" activeTab="4" xr2:uid="{B379B628-3DDC-450B-8964-685C77D50C0F}"/>
  </bookViews>
  <sheets>
    <sheet name="Detail1" sheetId="3" r:id="rId1"/>
    <sheet name="Detail2" sheetId="4" r:id="rId2"/>
    <sheet name="Detail3" sheetId="5" r:id="rId3"/>
    <sheet name="Pivot" sheetId="2" r:id="rId4"/>
    <sheet name="Sheet2" sheetId="6" r:id="rId5"/>
    <sheet name="polygon_ipo_dry_run" sheetId="1" r:id="rId6"/>
  </sheets>
  <definedNames>
    <definedName name="_xlcn.WorksheetConnection_polygon_ipo_dry_runAS1" hidden="1">polygon_ipo_dry_run!$A:$S</definedName>
  </definedNames>
  <calcPr calcId="0"/>
  <pivotCaches>
    <pivotCache cacheId="32" r:id="rId7"/>
    <pivotCache cacheId="36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polygon_ipo_dry_run!$A:$S"/>
        </x15:modelTables>
      </x15:dataModel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004B38-98CA-4313-8704-46105BA855E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C45C27B-8D97-4528-8F6E-7FAE32D637A0}" name="WorksheetConnection_polygon_ipo_dry_run!$A:$S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olygon_ipo_dry_runAS1"/>
        </x15:connection>
      </ext>
    </extLst>
  </connection>
</connections>
</file>

<file path=xl/sharedStrings.xml><?xml version="1.0" encoding="utf-8"?>
<sst xmlns="http://schemas.openxmlformats.org/spreadsheetml/2006/main" count="3000" uniqueCount="819">
  <si>
    <t>ticker</t>
  </si>
  <si>
    <t>clean_ticker</t>
  </si>
  <si>
    <t>name</t>
  </si>
  <si>
    <t>sector</t>
  </si>
  <si>
    <t>sic_code</t>
  </si>
  <si>
    <t>sic_description</t>
  </si>
  <si>
    <t>ipo_date</t>
  </si>
  <si>
    <t>data_start_date</t>
  </si>
  <si>
    <t>data_incomplete</t>
  </si>
  <si>
    <t>ath_price</t>
  </si>
  <si>
    <t>ath_date</t>
  </si>
  <si>
    <t>atl_price</t>
  </si>
  <si>
    <t>atl_date</t>
  </si>
  <si>
    <t>last_close</t>
  </si>
  <si>
    <t>last_date</t>
  </si>
  <si>
    <t>trading_days</t>
  </si>
  <si>
    <t>status</t>
  </si>
  <si>
    <t>PLTR</t>
  </si>
  <si>
    <t>Palantir Technologies, Inc.</t>
  </si>
  <si>
    <t>Business Services</t>
  </si>
  <si>
    <t>SERVICES-PREPACKAGED SOFTWARE</t>
  </si>
  <si>
    <t>ok</t>
  </si>
  <si>
    <t>SHEL</t>
  </si>
  <si>
    <t>Shell Plc</t>
  </si>
  <si>
    <t>Energy</t>
  </si>
  <si>
    <t>ARM</t>
  </si>
  <si>
    <t>Arm Holdings plc</t>
  </si>
  <si>
    <t>Technology</t>
  </si>
  <si>
    <t>GEV</t>
  </si>
  <si>
    <t>GE Vernova, Inc.</t>
  </si>
  <si>
    <t>Industrials</t>
  </si>
  <si>
    <t>ELECTRONIC &amp; OTHER ELECTRICAL EQUIPMENT (NO COMPUTER EQUIP)</t>
  </si>
  <si>
    <t>APP</t>
  </si>
  <si>
    <t>AppLovin Corp.</t>
  </si>
  <si>
    <t>SERVICES-COMPUTER PROGRAMMING, DATA PROCESSING, ETC.</t>
  </si>
  <si>
    <t>DASH</t>
  </si>
  <si>
    <t>DoorDash, Inc.</t>
  </si>
  <si>
    <t>Consumer Services</t>
  </si>
  <si>
    <t>SERVICES-BUSINESS SERVICES, NEC</t>
  </si>
  <si>
    <t>CEG</t>
  </si>
  <si>
    <t>Constellation Energy Corp.</t>
  </si>
  <si>
    <t>Utilities</t>
  </si>
  <si>
    <t>ELECTRIC SERVICES</t>
  </si>
  <si>
    <t>COIN</t>
  </si>
  <si>
    <t>Coinbase Global, Inc.</t>
  </si>
  <si>
    <t>Finance</t>
  </si>
  <si>
    <t>FINANCE SERVICES</t>
  </si>
  <si>
    <t>BAM</t>
  </si>
  <si>
    <t>Brookfield Asset Management Ltd.</t>
  </si>
  <si>
    <t>INVESTMENT ADVICE</t>
  </si>
  <si>
    <t>ABNB</t>
  </si>
  <si>
    <t>Airbnb, Inc.</t>
  </si>
  <si>
    <t>SERVICES-TO DWELLINGS &amp; OTHER BUILDINGS</t>
  </si>
  <si>
    <t>HOOD</t>
  </si>
  <si>
    <t>Robinhood Markets, Inc.</t>
  </si>
  <si>
    <t>SECURITY BROKERS, DEALERS &amp; FLOTATION COMPANIES</t>
  </si>
  <si>
    <t>SNOW</t>
  </si>
  <si>
    <t>Snowflake, Inc.</t>
  </si>
  <si>
    <t>RBLX</t>
  </si>
  <si>
    <t>Roblox Corp.</t>
  </si>
  <si>
    <t>NU</t>
  </si>
  <si>
    <t>Nu Holdings Ltd.</t>
  </si>
  <si>
    <t>CPNG</t>
  </si>
  <si>
    <t>Coupang, Inc.</t>
  </si>
  <si>
    <t>Consumer Non-Cyclicals</t>
  </si>
  <si>
    <t>RETAIL-CATALOG &amp; MAIL-ORDER HOUSES</t>
  </si>
  <si>
    <t>HLN</t>
  </si>
  <si>
    <t>Haleon plc</t>
  </si>
  <si>
    <t>Healthcare</t>
  </si>
  <si>
    <t>KVUE</t>
  </si>
  <si>
    <t>Kenvue, Inc.</t>
  </si>
  <si>
    <t>PERFUMES, COSMETICS &amp; OTHER TOILET PREPARATIONS</t>
  </si>
  <si>
    <t>FER</t>
  </si>
  <si>
    <t>Ferrovial NV</t>
  </si>
  <si>
    <t>GEHC</t>
  </si>
  <si>
    <t>GE Healthcare Technologies, Inc.</t>
  </si>
  <si>
    <t>X-RAY APPARATUS &amp; TUBES &amp; RELATED IRRADIATION APPARATUS</t>
  </si>
  <si>
    <t>OWL</t>
  </si>
  <si>
    <t>Blue Owl Capital, Inc.</t>
  </si>
  <si>
    <t>RKT</t>
  </si>
  <si>
    <t>Rocket Cos., Inc.</t>
  </si>
  <si>
    <t>MORTGAGE BANKERS &amp; LOAN CORRESPONDENTS</t>
  </si>
  <si>
    <t>LI</t>
  </si>
  <si>
    <t>Li Auto, Inc.</t>
  </si>
  <si>
    <t>Consumer Cyclicals</t>
  </si>
  <si>
    <t>EXE</t>
  </si>
  <si>
    <t>Expand Energy Corp.</t>
  </si>
  <si>
    <t>CRUDE PETROLEUM &amp; NATURAL GAS</t>
  </si>
  <si>
    <t>RDDT</t>
  </si>
  <si>
    <t>Reddit, Inc.</t>
  </si>
  <si>
    <t>SERVICES-COMPUTER PROCESSING &amp; DATA PREPARATION</t>
  </si>
  <si>
    <t>TOST</t>
  </si>
  <si>
    <t>Toast, Inc.</t>
  </si>
  <si>
    <t>VLTO</t>
  </si>
  <si>
    <t>Veralto Corp.</t>
  </si>
  <si>
    <t>INSTRUMENTS FOR MEAS &amp; TESTING OF ELECTRICITY &amp; ELEC SIGNALS</t>
  </si>
  <si>
    <t>VIK</t>
  </si>
  <si>
    <t>Viking Holdings Ltd. (Bermuda)</t>
  </si>
  <si>
    <t>BEKE</t>
  </si>
  <si>
    <t>KE Holdings, Inc.</t>
  </si>
  <si>
    <t>IOT</t>
  </si>
  <si>
    <t>Samsara, Inc.</t>
  </si>
  <si>
    <t>SERVICES-COMPUTER INTEGRATED SYSTEMS DESIGN</t>
  </si>
  <si>
    <t>AU</t>
  </si>
  <si>
    <t>Anglogold Ashanti Plc</t>
  </si>
  <si>
    <t>Non-Energy Materials</t>
  </si>
  <si>
    <t>SYM</t>
  </si>
  <si>
    <t>Symbotic, Inc.</t>
  </si>
  <si>
    <t>GENERAL INDUSTRIAL MACHINERY &amp; EQUIPMENT, NEC</t>
  </si>
  <si>
    <t>AS</t>
  </si>
  <si>
    <t>Amer Sports, Inc.</t>
  </si>
  <si>
    <t>GFS</t>
  </si>
  <si>
    <t>GLOBALFOUNDRIES, Inc.</t>
  </si>
  <si>
    <t>AFRM</t>
  </si>
  <si>
    <t>Affirm Holdings, Inc.</t>
  </si>
  <si>
    <t>PERSONAL CREDIT INSTITUTIONS</t>
  </si>
  <si>
    <t>TPG</t>
  </si>
  <si>
    <t>TPG, Inc.</t>
  </si>
  <si>
    <t>CRBG</t>
  </si>
  <si>
    <t>Corebridge Financial, Inc.</t>
  </si>
  <si>
    <t>LIFE INSURANCE</t>
  </si>
  <si>
    <t>SOFI</t>
  </si>
  <si>
    <t>SoFi Technologies, Inc.</t>
  </si>
  <si>
    <t>DUOL</t>
  </si>
  <si>
    <t>Duolingo, Inc.</t>
  </si>
  <si>
    <t>VIV</t>
  </si>
  <si>
    <t>Telefonica Brasil SA</t>
  </si>
  <si>
    <t>Telecommunications</t>
  </si>
  <si>
    <t>RYAN</t>
  </si>
  <si>
    <t>Ryan Specialty Holdings, Inc.</t>
  </si>
  <si>
    <t>INSURANCE AGENTS, BROKERS &amp; SERVICE</t>
  </si>
  <si>
    <t>XPEV</t>
  </si>
  <si>
    <t>XPeng, Inc.</t>
  </si>
  <si>
    <t>KSPI</t>
  </si>
  <si>
    <t>Kaspi.kz JSC</t>
  </si>
  <si>
    <t>RBRK</t>
  </si>
  <si>
    <t>Rubrik, Inc.</t>
  </si>
  <si>
    <t>ONON</t>
  </si>
  <si>
    <t>On Holding AG</t>
  </si>
  <si>
    <t>ASTS</t>
  </si>
  <si>
    <t>AST Spacemobile, Inc.</t>
  </si>
  <si>
    <t>COMMUNICATIONS SERVICES, NEC</t>
  </si>
  <si>
    <t>RKLB</t>
  </si>
  <si>
    <t>Rocket Lab Corp.</t>
  </si>
  <si>
    <t>GUIDED MISSILES &amp; SPACE VEHICLES &amp; PARTS</t>
  </si>
  <si>
    <t>BSY</t>
  </si>
  <si>
    <t>Bentley Systems, Inc.</t>
  </si>
  <si>
    <t>CRDO</t>
  </si>
  <si>
    <t>Credo Technology Group Holding Ltd.</t>
  </si>
  <si>
    <t>SEMICONDUCTORS &amp; RELATED DEVICES</t>
  </si>
  <si>
    <t>RIVN</t>
  </si>
  <si>
    <t>Rivian Automotive, Inc.</t>
  </si>
  <si>
    <t>MOTOR VEHICLES &amp; PASSENGER CAR BODIES</t>
  </si>
  <si>
    <t>MNDY</t>
  </si>
  <si>
    <t>monday.com Ltd.</t>
  </si>
  <si>
    <t>SMMT</t>
  </si>
  <si>
    <t>Summit Therapeutics, Inc.</t>
  </si>
  <si>
    <t>PHARMACEUTICAL PREPARATIONS</t>
  </si>
  <si>
    <t>MBLY</t>
  </si>
  <si>
    <t>Mobileye Global, Inc.</t>
  </si>
  <si>
    <t>ALAB</t>
  </si>
  <si>
    <t>Astera Labs, Inc.</t>
  </si>
  <si>
    <t>ULS</t>
  </si>
  <si>
    <t>UL Solutions, Inc.</t>
  </si>
  <si>
    <t>SERVICES-TESTING LABORATORIES</t>
  </si>
  <si>
    <t>TLN</t>
  </si>
  <si>
    <t>Talen Energy Corp.</t>
  </si>
  <si>
    <t>SN</t>
  </si>
  <si>
    <t>SharkNinja, Inc.</t>
  </si>
  <si>
    <t>HOUSEHOLD APPLIANCES</t>
  </si>
  <si>
    <t>SOLV</t>
  </si>
  <si>
    <t>Solventum Corp.</t>
  </si>
  <si>
    <t>SURGICAL &amp; MEDICAL INSTRUMENTS &amp; APPARATUS</t>
  </si>
  <si>
    <t>YMM</t>
  </si>
  <si>
    <t>Full Truck Alliance Co., Ltd.</t>
  </si>
  <si>
    <t>ACI</t>
  </si>
  <si>
    <t>Albertsons Cos., Inc.</t>
  </si>
  <si>
    <t>RETAIL-GROCERY STORES</t>
  </si>
  <si>
    <t>CNM</t>
  </si>
  <si>
    <t>Core &amp; Main, Inc.</t>
  </si>
  <si>
    <t>WHOLESALE-DURABLE GOODS, NEC</t>
  </si>
  <si>
    <t>DRS</t>
  </si>
  <si>
    <t>Leonardo DRS, Inc.</t>
  </si>
  <si>
    <t>SEARCH, DETECTION, NAVIGATION, GUIDANCE, AERONAUTICAL SYS</t>
  </si>
  <si>
    <t>CART</t>
  </si>
  <si>
    <t>Maplebear, Inc.</t>
  </si>
  <si>
    <t>TEM</t>
  </si>
  <si>
    <t>Tempus AI, Inc.</t>
  </si>
  <si>
    <t>BROS</t>
  </si>
  <si>
    <t>Dutch Bros, Inc.</t>
  </si>
  <si>
    <t>RETAIL-EATING &amp; DRINKING PLACES</t>
  </si>
  <si>
    <t>DOCS</t>
  </si>
  <si>
    <t>Doximity, Inc.</t>
  </si>
  <si>
    <t>SERVICES-COMPUTER PROGRAMMING SERVICES</t>
  </si>
  <si>
    <t>DTM</t>
  </si>
  <si>
    <t>DT Midstream, Inc.</t>
  </si>
  <si>
    <t>NATURAL GAS TRANSMISSION</t>
  </si>
  <si>
    <t>HIMS</t>
  </si>
  <si>
    <t>Hims &amp; Hers Health, Inc.</t>
  </si>
  <si>
    <t>SERVICES-OFFICES &amp; CLINICS OF DOCTORS OF MEDICINE</t>
  </si>
  <si>
    <t>IONQ</t>
  </si>
  <si>
    <t>IonQ, Inc.</t>
  </si>
  <si>
    <t>SMR</t>
  </si>
  <si>
    <t>NuScale Power Corp.</t>
  </si>
  <si>
    <t>FABRICATED PLATE WORK (BOILER SHOPS)</t>
  </si>
  <si>
    <t>SARO</t>
  </si>
  <si>
    <t>StandardAero, Inc.</t>
  </si>
  <si>
    <t>AIRCRAFT ENGINES &amp; ENGINE PARTS</t>
  </si>
  <si>
    <t>PCOR</t>
  </si>
  <si>
    <t>Procore Technologies, Inc.</t>
  </si>
  <si>
    <t>U</t>
  </si>
  <si>
    <t>Unity Software, Inc.</t>
  </si>
  <si>
    <t>LINE</t>
  </si>
  <si>
    <t>Lineage, Inc.</t>
  </si>
  <si>
    <t>REAL ESTATE INVESTMENT TRUSTS</t>
  </si>
  <si>
    <t>KD</t>
  </si>
  <si>
    <t>Kyndryl Holdings, Inc.</t>
  </si>
  <si>
    <t>TTAN</t>
  </si>
  <si>
    <t>ServiceTitan, Inc.</t>
  </si>
  <si>
    <t>BIRK</t>
  </si>
  <si>
    <t>Birkenstock Holding Plc</t>
  </si>
  <si>
    <t>FYBR^26</t>
  </si>
  <si>
    <t>FYBR</t>
  </si>
  <si>
    <t>Frontier Communications Parent, Inc.</t>
  </si>
  <si>
    <t>TELEPHONE COMMUNICATIONS (NO RADIOTELEPHONE)</t>
  </si>
  <si>
    <t>CAVA</t>
  </si>
  <si>
    <t>Cava Group, Inc.</t>
  </si>
  <si>
    <t>RETAIL-EATING PLACES</t>
  </si>
  <si>
    <t>KVYO</t>
  </si>
  <si>
    <t>Klaviyo, Inc.</t>
  </si>
  <si>
    <t>AUR</t>
  </si>
  <si>
    <t>Aurora Innovation, Inc.</t>
  </si>
  <si>
    <t>RGC</t>
  </si>
  <si>
    <t>Regencell Bioscience Holdings Ltd.</t>
  </si>
  <si>
    <t>NXT</t>
  </si>
  <si>
    <t>Nextpower, Inc.</t>
  </si>
  <si>
    <t>INFA^25</t>
  </si>
  <si>
    <t>INFA</t>
  </si>
  <si>
    <t>Informatica, Inc. (California)</t>
  </si>
  <si>
    <t>SRAD</t>
  </si>
  <si>
    <t>Sportradar Group AG</t>
  </si>
  <si>
    <t>LOAR</t>
  </si>
  <si>
    <t>Loar Holdings, Inc.</t>
  </si>
  <si>
    <t>AIRCRAFT PARTS &amp; AUXILIARY EQUIPMENT, NEC</t>
  </si>
  <si>
    <t>BZ</t>
  </si>
  <si>
    <t>Kanzhun Ltd.</t>
  </si>
  <si>
    <t>CFLT^26</t>
  </si>
  <si>
    <t>CFLT</t>
  </si>
  <si>
    <t>Confluent, Inc.</t>
  </si>
  <si>
    <t>OKLO</t>
  </si>
  <si>
    <t>Oklo, Inc.</t>
  </si>
  <si>
    <t>ROIV</t>
  </si>
  <si>
    <t>Roivant Sciences Ltd.</t>
  </si>
  <si>
    <t>BRBR</t>
  </si>
  <si>
    <t>BellRing Brands, Inc.</t>
  </si>
  <si>
    <t>FOOD AND KINDRED PRODUCTS</t>
  </si>
  <si>
    <t>GTLB</t>
  </si>
  <si>
    <t>Gitlab, Inc.</t>
  </si>
  <si>
    <t>ESAB</t>
  </si>
  <si>
    <t>ESAB Corp.</t>
  </si>
  <si>
    <t>LLYVK</t>
  </si>
  <si>
    <t>Liberty Live Holdings, Inc.</t>
  </si>
  <si>
    <t>BXSL</t>
  </si>
  <si>
    <t>Blackstone Secured Lending Fund</t>
  </si>
  <si>
    <t>JOBY</t>
  </si>
  <si>
    <t>Joby Aviation, Inc.</t>
  </si>
  <si>
    <t>AIRCRAFT</t>
  </si>
  <si>
    <t>PATH</t>
  </si>
  <si>
    <t>UiPath, Inc.</t>
  </si>
  <si>
    <t>WAY</t>
  </si>
  <si>
    <t>Waystar Holding Corp.</t>
  </si>
  <si>
    <t>STVN</t>
  </si>
  <si>
    <t>Stevanato Group SpA</t>
  </si>
  <si>
    <t>ACHR</t>
  </si>
  <si>
    <t>Archer Aviation, Inc.</t>
  </si>
  <si>
    <t>OS^26</t>
  </si>
  <si>
    <t>OS</t>
  </si>
  <si>
    <t>OneStream, Inc.</t>
  </si>
  <si>
    <t>ZK^25</t>
  </si>
  <si>
    <t>ZK</t>
  </si>
  <si>
    <t>ZEEKR Intelligent Technology Holding Ltd.</t>
  </si>
  <si>
    <t>STEP</t>
  </si>
  <si>
    <t>StepStone Group, Inc.</t>
  </si>
  <si>
    <t>LTH</t>
  </si>
  <si>
    <t>Life Time Group Holdings, Inc.</t>
  </si>
  <si>
    <t>SERVICES-MEMBERSHIP SPORTS &amp; RECREATION CLUBS</t>
  </si>
  <si>
    <t>JXN</t>
  </si>
  <si>
    <t>Jackson Financial, Inc.</t>
  </si>
  <si>
    <t>ALGM</t>
  </si>
  <si>
    <t>Allegro MicroSystems, Inc.</t>
  </si>
  <si>
    <t>CCC</t>
  </si>
  <si>
    <t>CCC Intelligent Solutions Holdings, Inc.</t>
  </si>
  <si>
    <t>UPST</t>
  </si>
  <si>
    <t>Upstart Holdings, Inc.</t>
  </si>
  <si>
    <t>S</t>
  </si>
  <si>
    <t>SentinelOne, Inc.</t>
  </si>
  <si>
    <t>BEPC</t>
  </si>
  <si>
    <t>Brookfield Renewable Corp.</t>
  </si>
  <si>
    <t>GXO</t>
  </si>
  <si>
    <t>GXO Logistics, Inc.</t>
  </si>
  <si>
    <t>TRANSPORTATION SERVICES</t>
  </si>
  <si>
    <t>ACT</t>
  </si>
  <si>
    <t>Enact Holdings, Inc.</t>
  </si>
  <si>
    <t>AMTM</t>
  </si>
  <si>
    <t>Amentum Holdings, Inc.</t>
  </si>
  <si>
    <t>CHRD</t>
  </si>
  <si>
    <t>Chord Energy Corp.</t>
  </si>
  <si>
    <t>VNT</t>
  </si>
  <si>
    <t>Vontier Corp.</t>
  </si>
  <si>
    <t>TOTALIZING FLUID METERS &amp; COUNTING DEVICES</t>
  </si>
  <si>
    <t>AHR</t>
  </si>
  <si>
    <t>American Healthcare REIT, Inc.</t>
  </si>
  <si>
    <t>CWAN^26</t>
  </si>
  <si>
    <t>CWAN</t>
  </si>
  <si>
    <t>Clearwater Analytics Holdings, Inc.</t>
  </si>
  <si>
    <t>SEZL</t>
  </si>
  <si>
    <t>Sezzle, Inc.</t>
  </si>
  <si>
    <t>SGHC</t>
  </si>
  <si>
    <t>Super Group (SGHC) Ltd.</t>
  </si>
  <si>
    <t>NUVL</t>
  </si>
  <si>
    <t>Nuvalent, Inc.</t>
  </si>
  <si>
    <t>GLBE</t>
  </si>
  <si>
    <t>Global-e Online Ltd.</t>
  </si>
  <si>
    <t>SOBO</t>
  </si>
  <si>
    <t>South Bow Corp.</t>
  </si>
  <si>
    <t>MNSO</t>
  </si>
  <si>
    <t>MINISO Group Holding Ltd.</t>
  </si>
  <si>
    <t>MP</t>
  </si>
  <si>
    <t>MP Materials Corp.</t>
  </si>
  <si>
    <t>METAL MINING</t>
  </si>
  <si>
    <t>VERX</t>
  </si>
  <si>
    <t>Vertex, Inc.</t>
  </si>
  <si>
    <t>LB</t>
  </si>
  <si>
    <t>LandBridge Co. LLC</t>
  </si>
  <si>
    <t>OIL ROYALTY TRADERS</t>
  </si>
  <si>
    <t>OSCR</t>
  </si>
  <si>
    <t>Oscar Health, Inc.</t>
  </si>
  <si>
    <t>HOSPITAL &amp; MEDICAL SERVICE PLANS</t>
  </si>
  <si>
    <t>MIR</t>
  </si>
  <si>
    <t>Mirion Technologies, Inc.</t>
  </si>
  <si>
    <t>MEASURING &amp; CONTROLLING DEVICES, NEC</t>
  </si>
  <si>
    <t>BULL</t>
  </si>
  <si>
    <t>Webull Corp.</t>
  </si>
  <si>
    <t>FROG</t>
  </si>
  <si>
    <t>JFrog Ltd.</t>
  </si>
  <si>
    <t>CORZ</t>
  </si>
  <si>
    <t>Core Scientific, Inc.</t>
  </si>
  <si>
    <t>INGM</t>
  </si>
  <si>
    <t>Ingram Micro Holding Corp.</t>
  </si>
  <si>
    <t>WHOLESALE-COMPUTERS &amp; PERIPHERAL EQUIPMENT &amp; SOFTWARE</t>
  </si>
  <si>
    <t>DJT</t>
  </si>
  <si>
    <t>Trump Media &amp; Technology Group Corp.</t>
  </si>
  <si>
    <t>PONY</t>
  </si>
  <si>
    <t>Pony.ai, Inc.</t>
  </si>
  <si>
    <t>LIF</t>
  </si>
  <si>
    <t>Life360, Inc.</t>
  </si>
  <si>
    <t>PECO</t>
  </si>
  <si>
    <t>Phillips Edison &amp; Co., Inc.</t>
  </si>
  <si>
    <t>KNF</t>
  </si>
  <si>
    <t>Knife River Corp.</t>
  </si>
  <si>
    <t>MINING &amp; QUARRYING OF NONMETALLIC MINERALS (NO FUELS)</t>
  </si>
  <si>
    <t>TFPM</t>
  </si>
  <si>
    <t>Triple Flag Precious Metals Corp.</t>
  </si>
  <si>
    <t>ATAT</t>
  </si>
  <si>
    <t>Atour Lifestyle Holdings Ltd.</t>
  </si>
  <si>
    <t>BLCO</t>
  </si>
  <si>
    <t>Bausch + Lomb Corp.</t>
  </si>
  <si>
    <t>OPHTHALMIC GOODS</t>
  </si>
  <si>
    <t>QBTS</t>
  </si>
  <si>
    <t>D-Wave Quantum, Inc.</t>
  </si>
  <si>
    <t>GRND</t>
  </si>
  <si>
    <t>Grindr, Inc.</t>
  </si>
  <si>
    <t>FG</t>
  </si>
  <si>
    <t>F&amp;G Annuities &amp; Life, Inc.</t>
  </si>
  <si>
    <t>FRSH</t>
  </si>
  <si>
    <t>Freshworks, Inc.</t>
  </si>
  <si>
    <t>ODD</t>
  </si>
  <si>
    <t>ODDITY Tech Ltd.</t>
  </si>
  <si>
    <t>NE</t>
  </si>
  <si>
    <t>Noble Corp. Plc</t>
  </si>
  <si>
    <t>DRILLING OIL &amp; GAS WELLS</t>
  </si>
  <si>
    <t>INTA</t>
  </si>
  <si>
    <t>Intapp, Inc.</t>
  </si>
  <si>
    <t>BTSG</t>
  </si>
  <si>
    <t>BrightSpring Health Services, Inc.</t>
  </si>
  <si>
    <t>SERVICES-HOME HEALTH CARE SERVICES</t>
  </si>
  <si>
    <t>CRC</t>
  </si>
  <si>
    <t>California Resources Corp.</t>
  </si>
  <si>
    <t>PAY</t>
  </si>
  <si>
    <t>Paymentus Holdings, Inc.</t>
  </si>
  <si>
    <t>DNB^25</t>
  </si>
  <si>
    <t>DNB</t>
  </si>
  <si>
    <t>Dun &amp; Bradstreet Holdings, Inc.</t>
  </si>
  <si>
    <t>SERVICES-CONSUMER CREDIT REPORTING, COLLECTION AGENCIES</t>
  </si>
  <si>
    <t>RUM</t>
  </si>
  <si>
    <t>RUM Group, Inc.</t>
  </si>
  <si>
    <t>SNREY^25</t>
  </si>
  <si>
    <t>SNREY</t>
  </si>
  <si>
    <t>Sunrise Communications AG</t>
  </si>
  <si>
    <t>ticker_not_found</t>
  </si>
  <si>
    <t>AVPT</t>
  </si>
  <si>
    <t>AvePoint, Inc.</t>
  </si>
  <si>
    <t>SOUN</t>
  </si>
  <si>
    <t>SoundHound AI, Inc.</t>
  </si>
  <si>
    <t>CLBT</t>
  </si>
  <si>
    <t>Cellebrite DI Ltd.</t>
  </si>
  <si>
    <t>RELY</t>
  </si>
  <si>
    <t>Remitly Global, Inc.</t>
  </si>
  <si>
    <t>YOU</t>
  </si>
  <si>
    <t>Clear Secure, Inc.</t>
  </si>
  <si>
    <t>QS</t>
  </si>
  <si>
    <t>QuantumScape Corp.</t>
  </si>
  <si>
    <t>MISCELLANEOUS ELECTRICAL MACHINERY, EQUIPMENT &amp; SUPPLIES</t>
  </si>
  <si>
    <t>GPOR</t>
  </si>
  <si>
    <t>Gulfport Energy Corp.</t>
  </si>
  <si>
    <t>ACLX^26</t>
  </si>
  <si>
    <t>ACLX</t>
  </si>
  <si>
    <t>Arcellx, Inc.</t>
  </si>
  <si>
    <t>BIOLOGICAL PRODUCTS, (NO DIAGNOSTIC SUBSTANCES)</t>
  </si>
  <si>
    <t>TBBB</t>
  </si>
  <si>
    <t>BBB Foods, Inc.</t>
  </si>
  <si>
    <t>ZGN</t>
  </si>
  <si>
    <t>Ermenegildo Zegna NV</t>
  </si>
  <si>
    <t>ZETA</t>
  </si>
  <si>
    <t>Zeta Global Holdings Corp.</t>
  </si>
  <si>
    <t>IREN</t>
  </si>
  <si>
    <t>IREN Ltd.</t>
  </si>
  <si>
    <t>RSI</t>
  </si>
  <si>
    <t>Rush Street Interactive, Inc.</t>
  </si>
  <si>
    <t>SERVICES-MISCELLANEOUS AMUSEMENT &amp; RECREATION</t>
  </si>
  <si>
    <t>CNXC</t>
  </si>
  <si>
    <t>Concentrix Corp.</t>
  </si>
  <si>
    <t>EE</t>
  </si>
  <si>
    <t>Excelerate Energy, Inc.</t>
  </si>
  <si>
    <t>NATURAL GAS DISTRIBUTION</t>
  </si>
  <si>
    <t>COMP</t>
  </si>
  <si>
    <t>Compass, Inc. (New York)</t>
  </si>
  <si>
    <t>REAL ESTATE AGENTS &amp; MANAGERS (FOR OTHERS)</t>
  </si>
  <si>
    <t>EBC</t>
  </si>
  <si>
    <t>Eastern Bankshares, Inc.</t>
  </si>
  <si>
    <t>SAVINGS INSTITUTION, FEDERALLY CHARTERED</t>
  </si>
  <si>
    <t>DLO</t>
  </si>
  <si>
    <t>dLocal Ltd.</t>
  </si>
  <si>
    <t>ECG</t>
  </si>
  <si>
    <t>Everus Construction Group, Inc.</t>
  </si>
  <si>
    <t>OPERATIVE BUILDERS</t>
  </si>
  <si>
    <t>INTR</t>
  </si>
  <si>
    <t>Inter &amp; Co., Inc.</t>
  </si>
  <si>
    <t>AI</t>
  </si>
  <si>
    <t>C3.ai, Inc.</t>
  </si>
  <si>
    <t>SHC</t>
  </si>
  <si>
    <t>Sotera Health Co.</t>
  </si>
  <si>
    <t>SERVICES-MISC HEALTH &amp; ALLIED SERVICES, NEC</t>
  </si>
  <si>
    <t>ASAN</t>
  </si>
  <si>
    <t>Asana, Inc.</t>
  </si>
  <si>
    <t>NCNO</t>
  </si>
  <si>
    <t>nCino, Inc.</t>
  </si>
  <si>
    <t>DAVE</t>
  </si>
  <si>
    <t>Dave, Inc.</t>
  </si>
  <si>
    <t>RGTI</t>
  </si>
  <si>
    <t>Rigetti Computing, Inc.</t>
  </si>
  <si>
    <t>PRCT</t>
  </si>
  <si>
    <t>PROCEPT BioRobotics Corp.</t>
  </si>
  <si>
    <t>ASO</t>
  </si>
  <si>
    <t>Academy Sports &amp; Outdoors, Inc.</t>
  </si>
  <si>
    <t>RETAIL-MISCELLANEOUS SHOPPING GOODS STORES</t>
  </si>
  <si>
    <t>CXT</t>
  </si>
  <si>
    <t>Crane NXT Co.</t>
  </si>
  <si>
    <t>MISCELLANEOUS FABRICATED METAL PRODUCTS</t>
  </si>
  <si>
    <t>BNL</t>
  </si>
  <si>
    <t>Broadstone Net Lease, Inc.</t>
  </si>
  <si>
    <t>GBTG</t>
  </si>
  <si>
    <t>Global Business Travel Group, Inc.</t>
  </si>
  <si>
    <t>MLTX</t>
  </si>
  <si>
    <t>MoonLake Immunotherapeutics</t>
  </si>
  <si>
    <t>ALIT</t>
  </si>
  <si>
    <t>Alight, Inc.</t>
  </si>
  <si>
    <t>KGS</t>
  </si>
  <si>
    <t>Kodiak Gas Services, Inc.</t>
  </si>
  <si>
    <t>PPLI</t>
  </si>
  <si>
    <t>People, Inc.</t>
  </si>
  <si>
    <t>ALKT</t>
  </si>
  <si>
    <t>Alkami Technology, Inc.</t>
  </si>
  <si>
    <t>VAL</t>
  </si>
  <si>
    <t>Valaris Ltd.</t>
  </si>
  <si>
    <t>HAYW</t>
  </si>
  <si>
    <t>Hayward Holdings, Inc.</t>
  </si>
  <si>
    <t>REFRIGERATION &amp; SERVICE INDUSTRY MACHINERY</t>
  </si>
  <si>
    <t>LMND</t>
  </si>
  <si>
    <t>Lemonade, Inc.</t>
  </si>
  <si>
    <t>FIRE, MARINE &amp; CASUALTY INSURANCE</t>
  </si>
  <si>
    <t>ATMU</t>
  </si>
  <si>
    <t>Atmus Filtration Technologies, Inc.</t>
  </si>
  <si>
    <t>MOTOR VEHICLE PARTS &amp; ACCESSORIES</t>
  </si>
  <si>
    <t>MRX</t>
  </si>
  <si>
    <t>Marex Group plc</t>
  </si>
  <si>
    <t>HSAI</t>
  </si>
  <si>
    <t>Hesai Group</t>
  </si>
  <si>
    <t>BRZE</t>
  </si>
  <si>
    <t>Braze, Inc.</t>
  </si>
  <si>
    <t>DRVN</t>
  </si>
  <si>
    <t>Driven Brands Holdings, Inc.</t>
  </si>
  <si>
    <t>SERVICES-AUTOMOTIVE REPAIR, SERVICES &amp; PARKING</t>
  </si>
  <si>
    <t>CRGY</t>
  </si>
  <si>
    <t>Crescent Energy Co.</t>
  </si>
  <si>
    <t>KYMR</t>
  </si>
  <si>
    <t>Kymera Therapeutics, Inc.</t>
  </si>
  <si>
    <t>WNS^25</t>
  </si>
  <si>
    <t>WNS</t>
  </si>
  <si>
    <t>WNS (Holdings) Ltd.</t>
  </si>
  <si>
    <t>MQ</t>
  </si>
  <si>
    <t>Marqeta, Inc.</t>
  </si>
  <si>
    <t>FA</t>
  </si>
  <si>
    <t>First Advantage Corp.</t>
  </si>
  <si>
    <t>ACVA</t>
  </si>
  <si>
    <t>ACV Auctions, Inc.</t>
  </si>
  <si>
    <t>CON</t>
  </si>
  <si>
    <t>Concentra Group Holdings Parent, Inc.</t>
  </si>
  <si>
    <t>SERVICES-SPECIALTY OUTPATIENT FACILITIES, NEC</t>
  </si>
  <si>
    <t>ALHC</t>
  </si>
  <si>
    <t>Alignment Healthcare, Inc.</t>
  </si>
  <si>
    <t>PRVA</t>
  </si>
  <si>
    <t>Privia Health Group, Inc.</t>
  </si>
  <si>
    <t>SERVICES-HEALTH SERVICES</t>
  </si>
  <si>
    <t>WRBY</t>
  </si>
  <si>
    <t>Warby Parker, Inc.</t>
  </si>
  <si>
    <t>DOCN</t>
  </si>
  <si>
    <t>DigitalOcean Holdings, Inc.</t>
  </si>
  <si>
    <t>APGE</t>
  </si>
  <si>
    <t>Apogee Therapeutics, Inc.</t>
  </si>
  <si>
    <t>GENI</t>
  </si>
  <si>
    <t>Genius Sports Ltd.</t>
  </si>
  <si>
    <t>OGN</t>
  </si>
  <si>
    <t>Organon &amp; Co.</t>
  </si>
  <si>
    <t>TMC</t>
  </si>
  <si>
    <t>TMC the metals co., Inc.</t>
  </si>
  <si>
    <t>WGS</t>
  </si>
  <si>
    <t>GeneDx Holdings Corp.</t>
  </si>
  <si>
    <t>WRD</t>
  </si>
  <si>
    <t>WeRide, Inc.</t>
  </si>
  <si>
    <t>RXO</t>
  </si>
  <si>
    <t>RXO, Inc.</t>
  </si>
  <si>
    <t>RNW</t>
  </si>
  <si>
    <t>ReNew Energy Global Plc</t>
  </si>
  <si>
    <t>DV</t>
  </si>
  <si>
    <t>DoubleVerify Holdings, Inc.</t>
  </si>
  <si>
    <t>CURB</t>
  </si>
  <si>
    <t>Curbline Properties Corp.</t>
  </si>
  <si>
    <t>REAL ESTATE</t>
  </si>
  <si>
    <t>PAYO</t>
  </si>
  <si>
    <t>Payoneer Global, Inc.</t>
  </si>
  <si>
    <t>PCT</t>
  </si>
  <si>
    <t>Purecycle Technologies, Inc.</t>
  </si>
  <si>
    <t>PLASTIC MATERIALS, SYNTH RESINS &amp; NONVULCAN ELASTOMERS</t>
  </si>
  <si>
    <t>DFH</t>
  </si>
  <si>
    <t>Dream Finders Homes, Inc.</t>
  </si>
  <si>
    <t>RDW</t>
  </si>
  <si>
    <t>Redwire Corp.</t>
  </si>
  <si>
    <t>SKWD</t>
  </si>
  <si>
    <t>Skyward Specialty Insurance Group, Inc.</t>
  </si>
  <si>
    <t>CSAN</t>
  </si>
  <si>
    <t>Cosan SA</t>
  </si>
  <si>
    <t>SOC</t>
  </si>
  <si>
    <t>Sable Offshore Corp.</t>
  </si>
  <si>
    <t>HTZ</t>
  </si>
  <si>
    <t>Hertz Global Holdings, Inc.</t>
  </si>
  <si>
    <t>SERVICES-AUTO RENTAL &amp; LEASING (NO DRIVERS)</t>
  </si>
  <si>
    <t>HG</t>
  </si>
  <si>
    <t>Hamilton Insurance Group Ltd.</t>
  </si>
  <si>
    <t>GCMG</t>
  </si>
  <si>
    <t>GCM Grosvenor, Inc.</t>
  </si>
  <si>
    <t>NATL</t>
  </si>
  <si>
    <t>NCR Atleos Corp.</t>
  </si>
  <si>
    <t>CALCULATING &amp; ACCOUNTING MACHINES (NO ELECTRONIC COMPUTERS)</t>
  </si>
  <si>
    <t>BTDR</t>
  </si>
  <si>
    <t>Bitdeer Technologies Group</t>
  </si>
  <si>
    <t>CXM</t>
  </si>
  <si>
    <t>Sprinklr, Inc.</t>
  </si>
  <si>
    <t>PAX</t>
  </si>
  <si>
    <t>Patria Investments Ltd.</t>
  </si>
  <si>
    <t>DBD</t>
  </si>
  <si>
    <t>Diebold Nixdorf, Inc.</t>
  </si>
  <si>
    <t>SLVM</t>
  </si>
  <si>
    <t>Sylvamo Corp.</t>
  </si>
  <si>
    <t>PAPER MILLS</t>
  </si>
  <si>
    <t>ROOT</t>
  </si>
  <si>
    <t>Root, Inc.</t>
  </si>
  <si>
    <t>BKV</t>
  </si>
  <si>
    <t>BKV Corp.</t>
  </si>
  <si>
    <t>PRM</t>
  </si>
  <si>
    <t>Perimeter Solutions, Inc.</t>
  </si>
  <si>
    <t>CHEMICALS &amp; ALLIED PRODUCTS</t>
  </si>
  <si>
    <t>NAMS</t>
  </si>
  <si>
    <t>NewAmsterdam Pharma Co. NV</t>
  </si>
  <si>
    <t>AVDX^25</t>
  </si>
  <si>
    <t>AVDX</t>
  </si>
  <si>
    <t>AvidXchange Holdings, Inc.</t>
  </si>
  <si>
    <t>PACS</t>
  </si>
  <si>
    <t>PACS Group, Inc.</t>
  </si>
  <si>
    <t>SERVICES-SKILLED NURSING CARE FACILITIES</t>
  </si>
  <si>
    <t>COCO</t>
  </si>
  <si>
    <t>The Vita Coco Co., Inc.</t>
  </si>
  <si>
    <t>BEVERAGES</t>
  </si>
  <si>
    <t>MCW^26</t>
  </si>
  <si>
    <t>MCW</t>
  </si>
  <si>
    <t>Mister Car Wash, Inc.</t>
  </si>
  <si>
    <t>AEVA</t>
  </si>
  <si>
    <t>Aeva Technologies, Inc.</t>
  </si>
  <si>
    <t>ZIM</t>
  </si>
  <si>
    <t>ZIM Integrated Shipping Services Ltd.</t>
  </si>
  <si>
    <t>CGON</t>
  </si>
  <si>
    <t>CG Oncology, Inc.</t>
  </si>
  <si>
    <t>CTRI</t>
  </si>
  <si>
    <t>Centuri Holdings, Inc.</t>
  </si>
  <si>
    <t>NATURAL GAS TRANSMISSION &amp; DISTRIBUTION</t>
  </si>
  <si>
    <t>RXRX</t>
  </si>
  <si>
    <t>Recursion Pharmaceuticals, Inc.</t>
  </si>
  <si>
    <t>MSGE</t>
  </si>
  <si>
    <t>Madison Square Garden Entertainment Corp.</t>
  </si>
  <si>
    <t>NN</t>
  </si>
  <si>
    <t>NextNav, Inc.</t>
  </si>
  <si>
    <t>LUNR</t>
  </si>
  <si>
    <t>Intuitive Machines, Inc.</t>
  </si>
  <si>
    <t>ENVX</t>
  </si>
  <si>
    <t>Enovix Corp.</t>
  </si>
  <si>
    <t>IHS</t>
  </si>
  <si>
    <t>IHS Holding Ltd.</t>
  </si>
  <si>
    <t>IRON</t>
  </si>
  <si>
    <t>Disc Medicine, Inc.</t>
  </si>
  <si>
    <t>CERT</t>
  </si>
  <si>
    <t>Certara, Inc.</t>
  </si>
  <si>
    <t>HRMY</t>
  </si>
  <si>
    <t>Harmony Biosciences Holdings, Inc.</t>
  </si>
  <si>
    <t>PLGO</t>
  </si>
  <si>
    <t>Pelagos Insurance Capital Ltd.</t>
  </si>
  <si>
    <t>PL</t>
  </si>
  <si>
    <t>Planet Labs PBC</t>
  </si>
  <si>
    <t>RADIO &amp; TV BROADCASTING &amp; COMMUNICATIONS EQUIPMENT</t>
  </si>
  <si>
    <t>PHIN</t>
  </si>
  <si>
    <t>PHINIA, Inc.</t>
  </si>
  <si>
    <t>SPRY</t>
  </si>
  <si>
    <t>ARS Pharmaceuticals, Inc.</t>
  </si>
  <si>
    <t>CNTA^26</t>
  </si>
  <si>
    <t>CNTA</t>
  </si>
  <si>
    <t>Centessa Pharmaceuticals Plc</t>
  </si>
  <si>
    <t>VITL</t>
  </si>
  <si>
    <t>Vital Farms, Inc.</t>
  </si>
  <si>
    <t>PWP</t>
  </si>
  <si>
    <t>Perella Weinberg Partners</t>
  </si>
  <si>
    <t>GRAL</t>
  </si>
  <si>
    <t>GRAIL, Inc.</t>
  </si>
  <si>
    <t>SERVICES-MEDICAL LABORATORIES</t>
  </si>
  <si>
    <t>MSDL</t>
  </si>
  <si>
    <t>Morgan Stanley Direct Lending Fund</t>
  </si>
  <si>
    <t>XMTR</t>
  </si>
  <si>
    <t>Xometry, Inc.</t>
  </si>
  <si>
    <t>BBAI</t>
  </si>
  <si>
    <t>BigBear.ai Holdings, Inc.</t>
  </si>
  <si>
    <t>TARS</t>
  </si>
  <si>
    <t>Tarsus Pharmaceuticals, Inc.</t>
  </si>
  <si>
    <t>SVV</t>
  </si>
  <si>
    <t>Savers Value Village, Inc.</t>
  </si>
  <si>
    <t>RETAIL-MISCELLANEOUS RETAIL</t>
  </si>
  <si>
    <t>WS</t>
  </si>
  <si>
    <t>Worthington Steel, Inc.</t>
  </si>
  <si>
    <t>STEEL WORKS, BLAST FURNACES &amp; ROLLING &amp; FINISHING MILLS</t>
  </si>
  <si>
    <t>SDRL</t>
  </si>
  <si>
    <t>Seadrill Ltd.</t>
  </si>
  <si>
    <t>PGY</t>
  </si>
  <si>
    <t>Pagaya Technologies Ltd.</t>
  </si>
  <si>
    <t>AESI</t>
  </si>
  <si>
    <t>Atlas Energy Solutions, Inc.</t>
  </si>
  <si>
    <t>AMPL</t>
  </si>
  <si>
    <t>Amplitude, Inc.</t>
  </si>
  <si>
    <t>SG</t>
  </si>
  <si>
    <t>Sweetgreen, Inc.</t>
  </si>
  <si>
    <t>IMCR</t>
  </si>
  <si>
    <t>Immunocore Holdings plc</t>
  </si>
  <si>
    <t>LZ</t>
  </si>
  <si>
    <t>LegalZoom.com, Inc.</t>
  </si>
  <si>
    <t>VSXY</t>
  </si>
  <si>
    <t>Victoria's Secret &amp; Co.</t>
  </si>
  <si>
    <t>RETAIL-WOMEN'S CLOTHING STORES</t>
  </si>
  <si>
    <t>NABL</t>
  </si>
  <si>
    <t>N-able, Inc.</t>
  </si>
  <si>
    <t>GPGI</t>
  </si>
  <si>
    <t>GPGI, Inc.</t>
  </si>
  <si>
    <t>OLO^25</t>
  </si>
  <si>
    <t>OLO</t>
  </si>
  <si>
    <t>Olo, Inc.</t>
  </si>
  <si>
    <t>NNE</t>
  </si>
  <si>
    <t>NANO Nuclear Energy, Inc.</t>
  </si>
  <si>
    <t>FLYW</t>
  </si>
  <si>
    <t>Flywire Corp.</t>
  </si>
  <si>
    <t>BHVN</t>
  </si>
  <si>
    <t>Biohaven Ltd.</t>
  </si>
  <si>
    <t>VERA</t>
  </si>
  <si>
    <t>Vera Therapeutics, Inc.</t>
  </si>
  <si>
    <t>HLMN</t>
  </si>
  <si>
    <t>Hillman Solutions Corp.</t>
  </si>
  <si>
    <t>CUTLERY, HANDTOOLS &amp; GENERAL HARDWARE</t>
  </si>
  <si>
    <t>EWTX</t>
  </si>
  <si>
    <t>Edgewise Therapeutics, Inc.</t>
  </si>
  <si>
    <t>NTST</t>
  </si>
  <si>
    <t>NetSTREIT Corp.</t>
  </si>
  <si>
    <t>SILA</t>
  </si>
  <si>
    <t>Sila Realty Trust, Inc.</t>
  </si>
  <si>
    <t>KLG^25</t>
  </si>
  <si>
    <t>KLG</t>
  </si>
  <si>
    <t>WK Kellogg Co.</t>
  </si>
  <si>
    <t>GRAIN MILL PRODUCTS</t>
  </si>
  <si>
    <t>COUR</t>
  </si>
  <si>
    <t>Coursera, Inc.</t>
  </si>
  <si>
    <t>MBC</t>
  </si>
  <si>
    <t>MasterBrand, Inc.</t>
  </si>
  <si>
    <t>WOOD HOUSEHOLD FURNITURE, (NO UPHOLSTERED)</t>
  </si>
  <si>
    <t>ARIS.3^25</t>
  </si>
  <si>
    <t>ARIS.3</t>
  </si>
  <si>
    <t>Aris Water Solutions, Inc.</t>
  </si>
  <si>
    <t>GRDN</t>
  </si>
  <si>
    <t>Guardian Pharmacy Services, Inc.</t>
  </si>
  <si>
    <t>RETAIL-DRUG STORES AND PROPRIETARY STORES</t>
  </si>
  <si>
    <t>JANX</t>
  </si>
  <si>
    <t>Janux Therapeutics, Inc.</t>
  </si>
  <si>
    <t>DOLE</t>
  </si>
  <si>
    <t>Dole plc</t>
  </si>
  <si>
    <t>SEMR^26</t>
  </si>
  <si>
    <t>SEMR</t>
  </si>
  <si>
    <t>SEMrush Holdings, Inc.</t>
  </si>
  <si>
    <t>CDRE</t>
  </si>
  <si>
    <t>Cadre Holdings, Inc.</t>
  </si>
  <si>
    <t>ORTHOPEDIC, PROSTHETIC &amp; SURGICAL APPLIANCES &amp; SUPPLIES</t>
  </si>
  <si>
    <t>ACDC</t>
  </si>
  <si>
    <t>ProFrac Holding Corp.</t>
  </si>
  <si>
    <t>OIL &amp; GAS FIELD SERVICES, NEC</t>
  </si>
  <si>
    <t>OUST</t>
  </si>
  <si>
    <t>Ouster, Inc.</t>
  </si>
  <si>
    <t>BASE^25</t>
  </si>
  <si>
    <t>BASE</t>
  </si>
  <si>
    <t>Couchbase, Inc.</t>
  </si>
  <si>
    <t>IAS^25</t>
  </si>
  <si>
    <t>IAS</t>
  </si>
  <si>
    <t>Integral Ad Science Holding Corp.</t>
  </si>
  <si>
    <t>NVTS</t>
  </si>
  <si>
    <t>Navitas Semiconductor Corp.</t>
  </si>
  <si>
    <t>TIC</t>
  </si>
  <si>
    <t>TIC Solutions, Inc.</t>
  </si>
  <si>
    <t>IE</t>
  </si>
  <si>
    <t>Ivanhoe Electric, Inc.</t>
  </si>
  <si>
    <t>OPFI</t>
  </si>
  <si>
    <t>OppFi, Inc.</t>
  </si>
  <si>
    <t>MLNK^25</t>
  </si>
  <si>
    <t>MLNK</t>
  </si>
  <si>
    <t>MeridianLink, Inc.</t>
  </si>
  <si>
    <t>ARHS</t>
  </si>
  <si>
    <t>Arhaus, Inc.</t>
  </si>
  <si>
    <t>RETAIL-FURNITURE STORES</t>
  </si>
  <si>
    <t>BOW</t>
  </si>
  <si>
    <t>Bowhead Specialty Holdings, Inc.</t>
  </si>
  <si>
    <t>PRCH</t>
  </si>
  <si>
    <t>Porch Group, Inc.</t>
  </si>
  <si>
    <t>CVAC^26</t>
  </si>
  <si>
    <t>CVAC</t>
  </si>
  <si>
    <t>CureVac NV</t>
  </si>
  <si>
    <t>GPCR</t>
  </si>
  <si>
    <t>Structure Therapeutics, Inc.</t>
  </si>
  <si>
    <t>DEC</t>
  </si>
  <si>
    <t>Diversified Energy Co.</t>
  </si>
  <si>
    <t>JAMF^26</t>
  </si>
  <si>
    <t>JAMF</t>
  </si>
  <si>
    <t>Jamf Holding Corp.</t>
  </si>
  <si>
    <t>VTEX</t>
  </si>
  <si>
    <t>VTEX (Cayman Islands)</t>
  </si>
  <si>
    <t>KLC</t>
  </si>
  <si>
    <t>KinderCare Learning Cos., Inc.</t>
  </si>
  <si>
    <t>SERVICES-CHILD DAY CARE SERVICES</t>
  </si>
  <si>
    <t>JBI</t>
  </si>
  <si>
    <t>Janus International Group, Inc.</t>
  </si>
  <si>
    <t>METAL DOORS, SASH, FRAMES, MOLDINGS &amp; TRIM</t>
  </si>
  <si>
    <t>BBT</t>
  </si>
  <si>
    <t>Beacon Financial Corp.</t>
  </si>
  <si>
    <t>SAVINGS INSTITUTIONS, NOT FEDERALLY CHARTERED</t>
  </si>
  <si>
    <t>RPC</t>
  </si>
  <si>
    <t>Ridgepost Capital, Inc.</t>
  </si>
  <si>
    <t>FLNC</t>
  </si>
  <si>
    <t>Fluence Energy, Inc.</t>
  </si>
  <si>
    <t>YALA</t>
  </si>
  <si>
    <t>Yalla Group Ltd.</t>
  </si>
  <si>
    <t>IBTA</t>
  </si>
  <si>
    <t>Ibotta, Inc.</t>
  </si>
  <si>
    <t>SERVICES-ADVERTISING</t>
  </si>
  <si>
    <t>DYN</t>
  </si>
  <si>
    <t>Dyne Therapeutics, Inc.</t>
  </si>
  <si>
    <t>UDMY^26</t>
  </si>
  <si>
    <t>UDMY</t>
  </si>
  <si>
    <t>Udemy, Inc.</t>
  </si>
  <si>
    <t>SERVICES-EDUCATIONAL SERVICES</t>
  </si>
  <si>
    <t>EVLV</t>
  </si>
  <si>
    <t>Evolv Technologies Holdings, Inc.</t>
  </si>
  <si>
    <t>COMPUTER PERIPHERAL EQUIPMENT, NEC</t>
  </si>
  <si>
    <t>USAR</t>
  </si>
  <si>
    <t>USA Rare Earth, Inc.</t>
  </si>
  <si>
    <t>VERV^25</t>
  </si>
  <si>
    <t>VERV</t>
  </si>
  <si>
    <t>Verve Therapeutics, Inc.</t>
  </si>
  <si>
    <t>new lows</t>
  </si>
  <si>
    <t>Row Labels</t>
  </si>
  <si>
    <t>Grand Total</t>
  </si>
  <si>
    <t>Column Labels</t>
  </si>
  <si>
    <t>has made new highs</t>
  </si>
  <si>
    <t>has not made new highs</t>
  </si>
  <si>
    <t>Details for Count of name - new lows: has not made new highs</t>
  </si>
  <si>
    <t>X from lows</t>
  </si>
  <si>
    <t>Total Average of X from lows</t>
  </si>
  <si>
    <t>Average of X from lows</t>
  </si>
  <si>
    <t>Total Count of ticker</t>
  </si>
  <si>
    <t>Count of ticker</t>
  </si>
  <si>
    <t>Details for Average of X from lows - sector: Energy, new lows: has not made new highs</t>
  </si>
  <si>
    <t>Details for Average of X from lows - sector: Telecommunications, new lows: has not made new highs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</si>
</sst>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9" fontId="0" fillId="0" borderId="0" xfId="1" applyFont="1"/>
    <xf numFmtId="9" fontId="0" fillId="0" borderId="0" xfId="1" applyNumberFormat="1" applyFont="1"/>
    <xf numFmtId="9" fontId="0" fillId="0" borderId="0" xfId="0" applyNumberFormat="1"/>
    <xf numFmtId="9" fontId="0" fillId="0" borderId="0" xfId="0" pivotButton="1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 Vu" refreshedDate="46204.666898495372" createdVersion="8" refreshedVersion="8" minRefreshableVersion="3" recordCount="326" xr:uid="{0FDF4CCF-8A50-425D-AB22-218FD5E58A7E}">
  <cacheSource type="worksheet">
    <worksheetSource ref="A1:S1048576" sheet="polygon_ipo_dry_run"/>
  </cacheSource>
  <cacheFields count="19">
    <cacheField name="ticker" numFmtId="0">
      <sharedItems containsBlank="1"/>
    </cacheField>
    <cacheField name="clean_ticker" numFmtId="0">
      <sharedItems containsBlank="1"/>
    </cacheField>
    <cacheField name="name" numFmtId="0">
      <sharedItems containsBlank="1"/>
    </cacheField>
    <cacheField name="sector" numFmtId="0">
      <sharedItems containsBlank="1" count="13">
        <s v="Business Services"/>
        <s v="Energy"/>
        <s v="Technology"/>
        <s v="Industrials"/>
        <s v="Consumer Services"/>
        <s v="Utilities"/>
        <s v="Finance"/>
        <s v="Consumer Non-Cyclicals"/>
        <s v="Healthcare"/>
        <s v="Consumer Cyclicals"/>
        <s v="Non-Energy Materials"/>
        <s v="Telecommunications"/>
        <m/>
      </sharedItems>
    </cacheField>
    <cacheField name="sic_code" numFmtId="0">
      <sharedItems containsString="0" containsBlank="1" containsNumber="1" containsInteger="1" minValue="100" maxValue="8734"/>
    </cacheField>
    <cacheField name="sic_description" numFmtId="0">
      <sharedItems containsBlank="1"/>
    </cacheField>
    <cacheField name="ipo_date" numFmtId="0">
      <sharedItems containsNonDate="0" containsDate="1" containsString="0" containsBlank="1" minDate="1984-03-12T00:00:00" maxDate="2025-04-12T00:00:00"/>
    </cacheField>
    <cacheField name="data_start_date" numFmtId="0">
      <sharedItems containsNonDate="0" containsDate="1" containsString="0" containsBlank="1" minDate="2021-07-02T00:00:00" maxDate="2026-06-05T00:00:00"/>
    </cacheField>
    <cacheField name="data_incomplete" numFmtId="0">
      <sharedItems containsBlank="1"/>
    </cacheField>
    <cacheField name="ath_price" numFmtId="0">
      <sharedItems containsString="0" containsBlank="1" containsNumber="1" minValue="9.44" maxValue="1181.95"/>
    </cacheField>
    <cacheField name="ath_date" numFmtId="0">
      <sharedItems containsNonDate="0" containsDate="1" containsString="0" containsBlank="1" minDate="2021-07-02T00:00:00" maxDate="2026-07-02T00:00:00"/>
    </cacheField>
    <cacheField name="atl_price" numFmtId="0">
      <sharedItems containsString="0" containsBlank="1" containsNumber="1" minValue="7.9699999999999993E-2" maxValue="119"/>
    </cacheField>
    <cacheField name="atl_date" numFmtId="0">
      <sharedItems containsNonDate="0" containsDate="1" containsString="0" containsBlank="1" minDate="2021-07-08T00:00:00" maxDate="2026-07-02T00:00:00"/>
    </cacheField>
    <cacheField name="last_close" numFmtId="0">
      <sharedItems containsString="0" containsBlank="1" containsNumber="1" minValue="2.2000000000000002" maxValue="1134.3499999999999"/>
    </cacheField>
    <cacheField name="last_date" numFmtId="0">
      <sharedItems containsNonDate="0" containsDate="1" containsString="0" containsBlank="1" minDate="2025-07-24T00:00:00" maxDate="2026-07-02T00:00:00"/>
    </cacheField>
    <cacheField name="trading_days" numFmtId="0">
      <sharedItems containsString="0" containsBlank="1" containsNumber="1" containsInteger="1" minValue="19" maxValue="1254"/>
    </cacheField>
    <cacheField name="status" numFmtId="0">
      <sharedItems containsBlank="1"/>
    </cacheField>
    <cacheField name="new lows" numFmtId="0">
      <sharedItems containsBlank="1" count="3">
        <s v="has made new highs"/>
        <s v="has not made new highs"/>
        <m/>
      </sharedItems>
    </cacheField>
    <cacheField name="X from lows" numFmtId="9">
      <sharedItems containsString="0" containsBlank="1" containsNumber="1" minValue="0.14202192448233875" maxValue="1047.93350062735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ng Vu" refreshedDate="46204.675481944447" backgroundQuery="1" createdVersion="8" refreshedVersion="8" minRefreshableVersion="3" recordCount="0" supportSubquery="1" supportAdvancedDrill="1" xr:uid="{CB137A92-25B5-4BC1-AA4C-7CD3E9B88181}">
  <cacheSource type="external" connectionId="1"/>
  <cacheFields count="0"/>
  <cacheHierarchies count="21">
    <cacheHierarchy uniqueName="[Range].[ticker]" caption="ticker" attribute="1" defaultMemberUniqueName="[Range].[ticker].[All]" allUniqueName="[Range].[ticker].[All]" dimensionUniqueName="[Range]" displayFolder="" count="0" memberValueDatatype="130" unbalanced="0"/>
    <cacheHierarchy uniqueName="[Range].[clean_ticker]" caption="clean_ticker" attribute="1" defaultMemberUniqueName="[Range].[clean_ticker].[All]" allUniqueName="[Range].[clean_ticker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sic_code]" caption="sic_code" attribute="1" defaultMemberUniqueName="[Range].[sic_code].[All]" allUniqueName="[Range].[sic_code].[All]" dimensionUniqueName="[Range]" displayFolder="" count="0" memberValueDatatype="20" unbalanced="0"/>
    <cacheHierarchy uniqueName="[Range].[sic_description]" caption="sic_description" attribute="1" defaultMemberUniqueName="[Range].[sic_description].[All]" allUniqueName="[Range].[sic_description].[All]" dimensionUniqueName="[Range]" displayFolder="" count="0" memberValueDatatype="130" unbalanced="0"/>
    <cacheHierarchy uniqueName="[Range].[ipo_date]" caption="ipo_date" attribute="1" time="1" defaultMemberUniqueName="[Range].[ipo_date].[All]" allUniqueName="[Range].[ipo_date].[All]" dimensionUniqueName="[Range]" displayFolder="" count="0" memberValueDatatype="7" unbalanced="0"/>
    <cacheHierarchy uniqueName="[Range].[data_start_date]" caption="data_start_date" attribute="1" time="1" defaultMemberUniqueName="[Range].[data_start_date].[All]" allUniqueName="[Range].[data_start_date].[All]" dimensionUniqueName="[Range]" displayFolder="" count="0" memberValueDatatype="7" unbalanced="0"/>
    <cacheHierarchy uniqueName="[Range].[data_incomplete]" caption="data_incomplete" attribute="1" defaultMemberUniqueName="[Range].[data_incomplete].[All]" allUniqueName="[Range].[data_incomplete].[All]" dimensionUniqueName="[Range]" displayFolder="" count="0" memberValueDatatype="11" unbalanced="0"/>
    <cacheHierarchy uniqueName="[Range].[ath_price]" caption="ath_price" attribute="1" defaultMemberUniqueName="[Range].[ath_price].[All]" allUniqueName="[Range].[ath_price].[All]" dimensionUniqueName="[Range]" displayFolder="" count="0" memberValueDatatype="5" unbalanced="0"/>
    <cacheHierarchy uniqueName="[Range].[ath_date]" caption="ath_date" attribute="1" time="1" defaultMemberUniqueName="[Range].[ath_date].[All]" allUniqueName="[Range].[ath_date].[All]" dimensionUniqueName="[Range]" displayFolder="" count="0" memberValueDatatype="7" unbalanced="0"/>
    <cacheHierarchy uniqueName="[Range].[atl_price]" caption="atl_price" attribute="1" defaultMemberUniqueName="[Range].[atl_price].[All]" allUniqueName="[Range].[atl_price].[All]" dimensionUniqueName="[Range]" displayFolder="" count="0" memberValueDatatype="5" unbalanced="0"/>
    <cacheHierarchy uniqueName="[Range].[atl_date]" caption="atl_date" attribute="1" time="1" defaultMemberUniqueName="[Range].[atl_date].[All]" allUniqueName="[Range].[atl_date].[All]" dimensionUniqueName="[Range]" displayFolder="" count="0" memberValueDatatype="7" unbalanced="0"/>
    <cacheHierarchy uniqueName="[Range].[last_close]" caption="last_close" attribute="1" defaultMemberUniqueName="[Range].[last_close].[All]" allUniqueName="[Range].[last_close].[All]" dimensionUniqueName="[Range]" displayFolder="" count="0" memberValueDatatype="5" unbalanced="0"/>
    <cacheHierarchy uniqueName="[Range].[last_date]" caption="last_date" attribute="1" time="1" defaultMemberUniqueName="[Range].[last_date].[All]" allUniqueName="[Range].[last_date].[All]" dimensionUniqueName="[Range]" displayFolder="" count="0" memberValueDatatype="7" unbalanced="0"/>
    <cacheHierarchy uniqueName="[Range].[trading_days]" caption="trading_days" attribute="1" defaultMemberUniqueName="[Range].[trading_days].[All]" allUniqueName="[Range].[trading_days].[All]" dimensionUniqueName="[Range]" displayFolder="" count="0" memberValueDatatype="2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new lows]" caption="new lows" attribute="1" defaultMemberUniqueName="[Range].[new lows].[All]" allUniqueName="[Range].[new lows].[All]" dimensionUniqueName="[Range]" displayFolder="" count="0" memberValueDatatype="130" unbalanced="0"/>
    <cacheHierarchy uniqueName="[Range].[X from lows]" caption="X from lows" attribute="1" defaultMemberUniqueName="[Range].[X from lows].[All]" allUniqueName="[Range].[X from lows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s v="PLTR"/>
    <s v="PLTR"/>
    <s v="Palantir Technologies, Inc."/>
    <x v="0"/>
    <n v="7372"/>
    <s v="SERVICES-PREPACKAGED SOFTWARE"/>
    <d v="2020-09-30T00:00:00"/>
    <d v="2021-07-02T00:00:00"/>
    <b v="1"/>
    <n v="207.52"/>
    <d v="2025-11-03T00:00:00"/>
    <n v="5.84"/>
    <d v="2023-01-24T00:00:00"/>
    <n v="125.73"/>
    <d v="2026-07-01T00:00:00"/>
    <n v="1254"/>
    <s v="ok"/>
    <x v="0"/>
    <n v="34.534246575342465"/>
  </r>
  <r>
    <s v="SHEL"/>
    <s v="SHEL"/>
    <s v="Shell Plc"/>
    <x v="1"/>
    <m/>
    <m/>
    <d v="1984-03-12T00:00:00"/>
    <d v="2022-02-01T00:00:00"/>
    <b v="1"/>
    <n v="94.9"/>
    <d v="2026-03-31T00:00:00"/>
    <n v="44.9"/>
    <d v="2022-07-14T00:00:00"/>
    <n v="76.569999999999993"/>
    <d v="2026-07-01T00:00:00"/>
    <n v="1107"/>
    <s v="ok"/>
    <x v="0"/>
    <n v="1.1135857461024501"/>
  </r>
  <r>
    <s v="ARM"/>
    <s v="ARM"/>
    <s v="Arm Holdings plc"/>
    <x v="2"/>
    <m/>
    <m/>
    <d v="2023-09-14T00:00:00"/>
    <d v="2023-09-14T00:00:00"/>
    <b v="0"/>
    <n v="452.7"/>
    <d v="2026-06-18T00:00:00"/>
    <n v="46.5"/>
    <d v="2023-10-20T00:00:00"/>
    <n v="337.47"/>
    <d v="2026-07-01T00:00:00"/>
    <n v="701"/>
    <s v="ok"/>
    <x v="0"/>
    <n v="8.7354838709677409"/>
  </r>
  <r>
    <s v="GEV"/>
    <s v="GEV"/>
    <s v="GE Vernova, Inc."/>
    <x v="3"/>
    <n v="3600"/>
    <s v="ELECTRONIC &amp; OTHER ELECTRICAL EQUIPMENT (NO COMPUTER EQUIP)"/>
    <d v="2024-03-27T00:00:00"/>
    <d v="2024-04-02T00:00:00"/>
    <b v="1"/>
    <n v="1181.95"/>
    <d v="2026-04-23T00:00:00"/>
    <n v="119"/>
    <d v="2024-04-05T00:00:00"/>
    <n v="1134.3499999999999"/>
    <d v="2026-07-01T00:00:00"/>
    <n v="564"/>
    <s v="ok"/>
    <x v="0"/>
    <n v="8.9323529411764717"/>
  </r>
  <r>
    <s v="APP"/>
    <s v="APP"/>
    <s v="AppLovin Corp."/>
    <x v="2"/>
    <n v="7370"/>
    <s v="SERVICES-COMPUTER PROGRAMMING, DATA PROCESSING, ETC."/>
    <d v="2021-04-15T00:00:00"/>
    <d v="2021-07-02T00:00:00"/>
    <b v="1"/>
    <n v="745.61"/>
    <d v="2025-09-29T00:00:00"/>
    <n v="9.14"/>
    <d v="2022-12-28T00:00:00"/>
    <n v="564.61"/>
    <d v="2026-07-01T00:00:00"/>
    <n v="1254"/>
    <s v="ok"/>
    <x v="0"/>
    <n v="80.576586433260388"/>
  </r>
  <r>
    <s v="DASH"/>
    <s v="DASH"/>
    <s v="DoorDash, Inc."/>
    <x v="4"/>
    <n v="7389"/>
    <s v="SERVICES-BUSINESS SERVICES, NEC"/>
    <d v="2020-12-09T00:00:00"/>
    <d v="2021-07-02T00:00:00"/>
    <b v="1"/>
    <n v="285.5"/>
    <d v="2025-10-16T00:00:00"/>
    <n v="41.365000000000002"/>
    <d v="2022-10-24T00:00:00"/>
    <n v="188.87"/>
    <d v="2026-07-01T00:00:00"/>
    <n v="1254"/>
    <s v="ok"/>
    <x v="0"/>
    <n v="5.9019702647165477"/>
  </r>
  <r>
    <s v="CEG"/>
    <s v="CEG"/>
    <s v="Constellation Energy Corp."/>
    <x v="5"/>
    <n v="4911"/>
    <s v="ELECTRIC SERVICES"/>
    <d v="2022-01-19T00:00:00"/>
    <d v="2022-02-02T00:00:00"/>
    <b v="1"/>
    <n v="412.7"/>
    <d v="2025-10-15T00:00:00"/>
    <n v="42.18"/>
    <d v="2022-02-23T00:00:00"/>
    <n v="236.5"/>
    <d v="2026-07-01T00:00:00"/>
    <n v="1106"/>
    <s v="ok"/>
    <x v="0"/>
    <n v="8.7842579421526779"/>
  </r>
  <r>
    <s v="COIN"/>
    <s v="COIN"/>
    <s v="Coinbase Global, Inc."/>
    <x v="6"/>
    <n v="6199"/>
    <s v="FINANCE SERVICES"/>
    <d v="2021-04-14T00:00:00"/>
    <d v="2021-07-02T00:00:00"/>
    <b v="1"/>
    <n v="444.64499999999998"/>
    <d v="2025-07-18T00:00:00"/>
    <n v="31.55"/>
    <d v="2023-01-06T00:00:00"/>
    <n v="159.24"/>
    <d v="2026-07-01T00:00:00"/>
    <n v="1254"/>
    <s v="ok"/>
    <x v="0"/>
    <n v="13.093343898573691"/>
  </r>
  <r>
    <s v="BAM"/>
    <s v="BAM"/>
    <s v="Brookfield Asset Management Ltd."/>
    <x v="6"/>
    <n v="6282"/>
    <s v="INVESTMENT ADVICE"/>
    <d v="2022-12-01T00:00:00"/>
    <d v="2022-12-01T00:00:00"/>
    <b v="0"/>
    <n v="64.099999999999994"/>
    <d v="2025-08-06T00:00:00"/>
    <n v="26.76"/>
    <d v="2022-12-16T00:00:00"/>
    <n v="45.4"/>
    <d v="2026-07-01T00:00:00"/>
    <n v="897"/>
    <s v="ok"/>
    <x v="0"/>
    <n v="1.395366218236173"/>
  </r>
  <r>
    <s v="ABNB"/>
    <s v="ABNB"/>
    <s v="Airbnb, Inc."/>
    <x v="4"/>
    <n v="7340"/>
    <s v="SERVICES-TO DWELLINGS &amp; OTHER BUILDINGS"/>
    <d v="2020-12-10T00:00:00"/>
    <d v="2021-07-02T00:00:00"/>
    <b v="1"/>
    <n v="212.5838"/>
    <d v="2021-11-17T00:00:00"/>
    <n v="81.91"/>
    <d v="2022-12-28T00:00:00"/>
    <n v="147.31"/>
    <d v="2026-07-01T00:00:00"/>
    <n v="1254"/>
    <s v="ok"/>
    <x v="1"/>
    <n v="1.595333903064339"/>
  </r>
  <r>
    <s v="HOOD"/>
    <s v="HOOD"/>
    <s v="Robinhood Markets, Inc."/>
    <x v="6"/>
    <n v="6211"/>
    <s v="SECURITY BROKERS, DEALERS &amp; FLOTATION COMPANIES"/>
    <d v="2021-07-29T00:00:00"/>
    <d v="2021-07-29T00:00:00"/>
    <b v="0"/>
    <n v="153.85990000000001"/>
    <d v="2025-10-06T00:00:00"/>
    <n v="6.81"/>
    <d v="2022-06-16T00:00:00"/>
    <n v="108.65"/>
    <d v="2026-07-01T00:00:00"/>
    <n v="1236"/>
    <s v="ok"/>
    <x v="0"/>
    <n v="21.593230543318651"/>
  </r>
  <r>
    <s v="SNOW"/>
    <s v="SNOW"/>
    <s v="Snowflake, Inc."/>
    <x v="2"/>
    <n v="7372"/>
    <s v="SERVICES-PREPACKAGED SOFTWARE"/>
    <d v="2020-09-16T00:00:00"/>
    <d v="2021-07-02T00:00:00"/>
    <b v="1"/>
    <n v="405"/>
    <d v="2021-11-17T00:00:00"/>
    <n v="107.13"/>
    <d v="2024-09-06T00:00:00"/>
    <n v="261.19"/>
    <d v="2026-07-01T00:00:00"/>
    <n v="1254"/>
    <s v="ok"/>
    <x v="1"/>
    <n v="2.7804536544385328"/>
  </r>
  <r>
    <s v="RBLX"/>
    <s v="RBLX"/>
    <s v="Roblox Corp."/>
    <x v="2"/>
    <n v="7372"/>
    <s v="SERVICES-PREPACKAGED SOFTWARE"/>
    <d v="2021-03-10T00:00:00"/>
    <d v="2021-07-02T00:00:00"/>
    <b v="1"/>
    <n v="150.59"/>
    <d v="2025-07-31T00:00:00"/>
    <n v="21.65"/>
    <d v="2022-05-10T00:00:00"/>
    <n v="57.95"/>
    <d v="2026-07-01T00:00:00"/>
    <n v="1254"/>
    <s v="ok"/>
    <x v="0"/>
    <n v="5.9556581986143193"/>
  </r>
  <r>
    <s v="NU"/>
    <s v="NU"/>
    <s v="Nu Holdings Ltd."/>
    <x v="6"/>
    <m/>
    <m/>
    <d v="2021-12-09T00:00:00"/>
    <d v="2021-12-09T00:00:00"/>
    <b v="0"/>
    <n v="18.98"/>
    <d v="2026-01-29T00:00:00"/>
    <n v="3.26"/>
    <d v="2022-05-25T00:00:00"/>
    <n v="13.39"/>
    <d v="2026-07-01T00:00:00"/>
    <n v="1143"/>
    <s v="ok"/>
    <x v="0"/>
    <n v="4.8220858895705527"/>
  </r>
  <r>
    <s v="CPNG"/>
    <s v="CPNG"/>
    <s v="Coupang, Inc."/>
    <x v="7"/>
    <n v="5961"/>
    <s v="RETAIL-CATALOG &amp; MAIL-ORDER HOUSES"/>
    <d v="2021-03-11T00:00:00"/>
    <d v="2021-07-02T00:00:00"/>
    <b v="1"/>
    <n v="46"/>
    <d v="2021-07-13T00:00:00"/>
    <n v="8.98"/>
    <d v="2022-05-11T00:00:00"/>
    <n v="18.13"/>
    <d v="2026-07-01T00:00:00"/>
    <n v="1254"/>
    <s v="ok"/>
    <x v="1"/>
    <n v="4.1224944320712691"/>
  </r>
  <r>
    <s v="HLN"/>
    <s v="HLN"/>
    <s v="Haleon plc"/>
    <x v="8"/>
    <m/>
    <m/>
    <d v="2022-07-18T00:00:00"/>
    <d v="2022-07-22T00:00:00"/>
    <b v="1"/>
    <n v="11.42"/>
    <d v="2025-06-02T00:00:00"/>
    <n v="5.59"/>
    <d v="2022-09-02T00:00:00"/>
    <n v="9.4"/>
    <d v="2026-07-01T00:00:00"/>
    <n v="989"/>
    <s v="ok"/>
    <x v="0"/>
    <n v="1.0429338103756709"/>
  </r>
  <r>
    <s v="KVUE"/>
    <s v="KVUE"/>
    <s v="Kenvue, Inc."/>
    <x v="7"/>
    <n v="2844"/>
    <s v="PERFUMES, COSMETICS &amp; OTHER TOILET PREPARATIONS"/>
    <d v="2023-05-04T00:00:00"/>
    <d v="2023-05-04T00:00:00"/>
    <b v="0"/>
    <n v="27.795000000000002"/>
    <d v="2023-05-15T00:00:00"/>
    <n v="14.02"/>
    <d v="2025-10-30T00:00:00"/>
    <n v="19.329999999999998"/>
    <d v="2026-07-01T00:00:00"/>
    <n v="792"/>
    <s v="ok"/>
    <x v="1"/>
    <n v="0.98252496433666214"/>
  </r>
  <r>
    <s v="FER"/>
    <s v="FER"/>
    <s v="Ferrovial NV"/>
    <x v="3"/>
    <m/>
    <m/>
    <d v="2004-11-17T00:00:00"/>
    <d v="2024-05-09T00:00:00"/>
    <b v="1"/>
    <n v="74.0749"/>
    <d v="2026-02-12T00:00:00"/>
    <n v="36.6462"/>
    <d v="2024-05-10T00:00:00"/>
    <n v="67.260000000000005"/>
    <d v="2026-07-01T00:00:00"/>
    <n v="537"/>
    <s v="ok"/>
    <x v="0"/>
    <n v="1.0213528278511823"/>
  </r>
  <r>
    <s v="GEHC"/>
    <s v="GEHC"/>
    <s v="GE Healthcare Technologies, Inc."/>
    <x v="8"/>
    <n v="3844"/>
    <s v="X-RAY APPARATUS &amp; TUBES &amp; RELATED IRRADIATION APPARATUS"/>
    <d v="2022-12-15T00:00:00"/>
    <d v="2023-01-04T00:00:00"/>
    <b v="1"/>
    <n v="94.8"/>
    <d v="2025-02-13T00:00:00"/>
    <n v="53.5"/>
    <d v="2023-01-04T00:00:00"/>
    <n v="64.86"/>
    <d v="2026-07-01T00:00:00"/>
    <n v="875"/>
    <s v="ok"/>
    <x v="0"/>
    <n v="0.77196261682242984"/>
  </r>
  <r>
    <s v="OWL"/>
    <s v="OWL"/>
    <s v="Blue Owl Capital, Inc."/>
    <x v="6"/>
    <n v="6282"/>
    <s v="INVESTMENT ADVICE"/>
    <d v="2021-05-20T00:00:00"/>
    <d v="2021-07-02T00:00:00"/>
    <b v="1"/>
    <n v="26.725000000000001"/>
    <d v="2025-01-24T00:00:00"/>
    <n v="7.95"/>
    <d v="2026-04-02T00:00:00"/>
    <n v="8.64"/>
    <d v="2026-07-01T00:00:00"/>
    <n v="1254"/>
    <s v="ok"/>
    <x v="1"/>
    <n v="2.3616352201257862"/>
  </r>
  <r>
    <s v="RKT"/>
    <s v="RKT"/>
    <s v="Rocket Cos., Inc."/>
    <x v="6"/>
    <n v="6162"/>
    <s v="MORTGAGE BANKERS &amp; LOAN CORRESPONDENTS"/>
    <d v="2020-08-06T00:00:00"/>
    <d v="2021-07-02T00:00:00"/>
    <b v="1"/>
    <n v="24.36"/>
    <d v="2026-01-16T00:00:00"/>
    <n v="5.97"/>
    <d v="2022-10-21T00:00:00"/>
    <n v="15.85"/>
    <d v="2026-07-01T00:00:00"/>
    <n v="1254"/>
    <s v="ok"/>
    <x v="0"/>
    <n v="3.0804020100502516"/>
  </r>
  <r>
    <s v="LI"/>
    <s v="LI"/>
    <s v="Li Auto, Inc."/>
    <x v="9"/>
    <m/>
    <m/>
    <d v="2020-07-30T00:00:00"/>
    <d v="2021-07-02T00:00:00"/>
    <b v="1"/>
    <n v="47.33"/>
    <d v="2023-08-07T00:00:00"/>
    <n v="11.65"/>
    <d v="2026-06-30T00:00:00"/>
    <n v="12.23"/>
    <d v="2026-07-01T00:00:00"/>
    <n v="1254"/>
    <s v="ok"/>
    <x v="1"/>
    <n v="3.0626609442060087"/>
  </r>
  <r>
    <s v="EXE"/>
    <s v="EXE"/>
    <s v="Expand Energy Corp."/>
    <x v="1"/>
    <n v="1311"/>
    <s v="CRUDE PETROLEUM &amp; NATURAL GAS"/>
    <d v="2021-02-10T00:00:00"/>
    <d v="2024-10-02T00:00:00"/>
    <b v="1"/>
    <n v="126.62050000000001"/>
    <d v="2025-12-05T00:00:00"/>
    <n v="81.66"/>
    <d v="2024-10-02T00:00:00"/>
    <n v="89.57"/>
    <d v="2026-07-01T00:00:00"/>
    <n v="437"/>
    <s v="ok"/>
    <x v="0"/>
    <n v="0.55058168013715425"/>
  </r>
  <r>
    <s v="RDDT"/>
    <s v="RDDT"/>
    <s v="Reddit, Inc."/>
    <x v="2"/>
    <n v="7374"/>
    <s v="SERVICES-COMPUTER PROCESSING &amp; DATA PREPARATION"/>
    <d v="2024-03-21T00:00:00"/>
    <d v="2024-03-21T00:00:00"/>
    <b v="0"/>
    <n v="282.95"/>
    <d v="2025-09-18T00:00:00"/>
    <n v="37.35"/>
    <d v="2024-04-18T00:00:00"/>
    <n v="197.76"/>
    <d v="2026-07-01T00:00:00"/>
    <n v="571"/>
    <s v="ok"/>
    <x v="0"/>
    <n v="6.5756358768406953"/>
  </r>
  <r>
    <s v="TOST"/>
    <s v="TOST"/>
    <s v="Toast, Inc."/>
    <x v="9"/>
    <n v="7374"/>
    <s v="SERVICES-COMPUTER PROCESSING &amp; DATA PREPARATION"/>
    <d v="2021-09-22T00:00:00"/>
    <d v="2021-09-22T00:00:00"/>
    <b v="0"/>
    <n v="69.930000000000007"/>
    <d v="2021-11-03T00:00:00"/>
    <n v="11.91"/>
    <d v="2022-05-12T00:00:00"/>
    <n v="28.71"/>
    <d v="2026-07-01T00:00:00"/>
    <n v="1198"/>
    <s v="ok"/>
    <x v="1"/>
    <n v="4.8715365239294721"/>
  </r>
  <r>
    <s v="VLTO"/>
    <s v="VLTO"/>
    <s v="Veralto Corp."/>
    <x v="3"/>
    <n v="3825"/>
    <s v="INSTRUMENTS FOR MEAS &amp; TESTING OF ELECTRICITY &amp; ELEC SIGNALS"/>
    <d v="2023-09-27T00:00:00"/>
    <d v="2023-10-02T00:00:00"/>
    <b v="1"/>
    <n v="115"/>
    <d v="2024-10-24T00:00:00"/>
    <n v="65.510000000000005"/>
    <d v="2023-10-26T00:00:00"/>
    <n v="90.34"/>
    <d v="2026-07-01T00:00:00"/>
    <n v="689"/>
    <s v="ok"/>
    <x v="0"/>
    <n v="0.75545718210960144"/>
  </r>
  <r>
    <s v="VIK"/>
    <s v="VIK"/>
    <s v="Viking Holdings Ltd. (Bermuda)"/>
    <x v="4"/>
    <m/>
    <m/>
    <d v="2024-05-01T00:00:00"/>
    <d v="2024-05-01T00:00:00"/>
    <b v="0"/>
    <n v="105.7599"/>
    <d v="2026-06-29T00:00:00"/>
    <n v="25.71"/>
    <d v="2024-05-01T00:00:00"/>
    <n v="102"/>
    <d v="2026-07-01T00:00:00"/>
    <n v="543"/>
    <s v="ok"/>
    <x v="0"/>
    <n v="3.1135705950991834"/>
  </r>
  <r>
    <s v="BEKE"/>
    <s v="BEKE"/>
    <s v="KE Holdings, Inc."/>
    <x v="6"/>
    <m/>
    <m/>
    <d v="2020-08-13T00:00:00"/>
    <d v="2021-07-02T00:00:00"/>
    <b v="1"/>
    <n v="47.33"/>
    <d v="2021-07-02T00:00:00"/>
    <n v="7.31"/>
    <d v="2022-03-14T00:00:00"/>
    <n v="15.05"/>
    <d v="2026-07-01T00:00:00"/>
    <n v="1254"/>
    <s v="ok"/>
    <x v="1"/>
    <n v="5.4746922024623803"/>
  </r>
  <r>
    <s v="IOT"/>
    <s v="IOT"/>
    <s v="Samsara, Inc."/>
    <x v="2"/>
    <n v="7373"/>
    <s v="SERVICES-COMPUTER INTEGRATED SYSTEMS DESIGN"/>
    <d v="2021-12-15T00:00:00"/>
    <d v="2021-12-15T00:00:00"/>
    <b v="0"/>
    <n v="61.899900000000002"/>
    <d v="2025-02-19T00:00:00"/>
    <n v="8.42"/>
    <d v="2022-11-09T00:00:00"/>
    <n v="34.18"/>
    <d v="2026-07-01T00:00:00"/>
    <n v="1139"/>
    <s v="ok"/>
    <x v="0"/>
    <n v="6.3515320665083133"/>
  </r>
  <r>
    <s v="AU"/>
    <s v="AU"/>
    <s v="Anglogold Ashanti Plc"/>
    <x v="10"/>
    <m/>
    <m/>
    <d v="1987-07-29T00:00:00"/>
    <d v="2021-07-02T00:00:00"/>
    <b v="1"/>
    <n v="129.13999999999999"/>
    <d v="2026-03-02T00:00:00"/>
    <n v="11.94"/>
    <d v="2022-09-23T00:00:00"/>
    <n v="80.89"/>
    <d v="2026-07-01T00:00:00"/>
    <n v="1254"/>
    <s v="ok"/>
    <x v="0"/>
    <n v="9.81574539363484"/>
  </r>
  <r>
    <s v="SYM"/>
    <s v="SYM"/>
    <s v="Symbotic, Inc."/>
    <x v="3"/>
    <n v="3569"/>
    <s v="GENERAL INDUSTRIAL MACHINERY &amp; EQUIPMENT, NEC"/>
    <d v="2022-06-08T00:00:00"/>
    <d v="2022-06-08T00:00:00"/>
    <b v="0"/>
    <n v="87.88"/>
    <d v="2025-11-26T00:00:00"/>
    <n v="8.75"/>
    <d v="2022-11-17T00:00:00"/>
    <n v="44.96"/>
    <d v="2026-07-01T00:00:00"/>
    <n v="1019"/>
    <s v="ok"/>
    <x v="0"/>
    <n v="9.0434285714285707"/>
  </r>
  <r>
    <s v="AS"/>
    <s v="AS"/>
    <s v="Amer Sports, Inc."/>
    <x v="9"/>
    <m/>
    <m/>
    <d v="2024-02-01T00:00:00"/>
    <d v="2024-02-01T00:00:00"/>
    <b v="0"/>
    <n v="42.76"/>
    <d v="2026-02-20T00:00:00"/>
    <n v="10.11"/>
    <d v="2024-08-05T00:00:00"/>
    <n v="34.11"/>
    <d v="2026-07-01T00:00:00"/>
    <n v="605"/>
    <s v="ok"/>
    <x v="0"/>
    <n v="3.2294757665677549"/>
  </r>
  <r>
    <s v="GFS"/>
    <s v="GFS"/>
    <s v="GLOBALFOUNDRIES, Inc."/>
    <x v="2"/>
    <m/>
    <m/>
    <d v="2021-10-28T00:00:00"/>
    <d v="2021-10-28T00:00:00"/>
    <b v="0"/>
    <n v="92.55"/>
    <d v="2026-05-26T00:00:00"/>
    <n v="29.77"/>
    <d v="2025-04-08T00:00:00"/>
    <n v="77.23"/>
    <d v="2026-07-01T00:00:00"/>
    <n v="1172"/>
    <s v="ok"/>
    <x v="0"/>
    <n v="2.1088343970440042"/>
  </r>
  <r>
    <s v="AFRM"/>
    <s v="AFRM"/>
    <s v="Affirm Holdings, Inc."/>
    <x v="6"/>
    <n v="6141"/>
    <s v="PERSONAL CREDIT INSTITUTIONS"/>
    <d v="2021-01-13T00:00:00"/>
    <d v="2021-07-02T00:00:00"/>
    <b v="1"/>
    <n v="176.65"/>
    <d v="2021-11-08T00:00:00"/>
    <n v="8.6199999999999992"/>
    <d v="2022-12-22T00:00:00"/>
    <n v="83.85"/>
    <d v="2026-07-01T00:00:00"/>
    <n v="1254"/>
    <s v="ok"/>
    <x v="1"/>
    <n v="19.493039443155453"/>
  </r>
  <r>
    <s v="TPG"/>
    <s v="TPG"/>
    <s v="TPG, Inc."/>
    <x v="6"/>
    <n v="6282"/>
    <s v="INVESTMENT ADVICE"/>
    <d v="2022-01-13T00:00:00"/>
    <d v="2022-01-13T00:00:00"/>
    <b v="0"/>
    <n v="72.98"/>
    <d v="2024-11-25T00:00:00"/>
    <n v="23.09"/>
    <d v="2022-06-30T00:00:00"/>
    <n v="40.5"/>
    <d v="2026-07-01T00:00:00"/>
    <n v="1119"/>
    <s v="ok"/>
    <x v="0"/>
    <n v="2.1606756171502814"/>
  </r>
  <r>
    <s v="CRBG"/>
    <s v="CRBG"/>
    <s v="Corebridge Financial, Inc."/>
    <x v="6"/>
    <n v="6311"/>
    <s v="LIFE INSURANCE"/>
    <d v="2022-09-15T00:00:00"/>
    <d v="2022-09-15T00:00:00"/>
    <b v="0"/>
    <n v="36.57"/>
    <d v="2025-08-05T00:00:00"/>
    <n v="14.01"/>
    <d v="2023-03-24T00:00:00"/>
    <n v="28.74"/>
    <d v="2026-07-01T00:00:00"/>
    <n v="951"/>
    <s v="ok"/>
    <x v="0"/>
    <n v="1.6102783725910066"/>
  </r>
  <r>
    <s v="SOFI"/>
    <s v="SOFI"/>
    <s v="SoFi Technologies, Inc."/>
    <x v="6"/>
    <n v="6199"/>
    <s v="FINANCE SERVICES"/>
    <d v="2021-06-01T00:00:00"/>
    <d v="2021-07-02T00:00:00"/>
    <b v="1"/>
    <n v="32.729999999999997"/>
    <d v="2025-11-12T00:00:00"/>
    <n v="4.24"/>
    <d v="2022-12-07T00:00:00"/>
    <n v="18.440000000000001"/>
    <d v="2026-07-01T00:00:00"/>
    <n v="1254"/>
    <s v="ok"/>
    <x v="0"/>
    <n v="6.7193396226415079"/>
  </r>
  <r>
    <s v="DUOL"/>
    <s v="DUOL"/>
    <s v="Duolingo, Inc."/>
    <x v="2"/>
    <n v="7372"/>
    <s v="SERVICES-PREPACKAGED SOFTWARE"/>
    <d v="2021-07-28T00:00:00"/>
    <d v="2021-07-28T00:00:00"/>
    <b v="0"/>
    <n v="544.92999999999995"/>
    <d v="2025-05-14T00:00:00"/>
    <n v="60.500300000000003"/>
    <d v="2022-05-11T00:00:00"/>
    <n v="121.215"/>
    <d v="2026-07-01T00:00:00"/>
    <n v="1237"/>
    <s v="ok"/>
    <x v="0"/>
    <n v="8.0070627748953296"/>
  </r>
  <r>
    <s v="VIV"/>
    <s v="VIV"/>
    <s v="Telefonica Brasil SA"/>
    <x v="11"/>
    <m/>
    <m/>
    <d v="1998-11-16T00:00:00"/>
    <d v="2021-07-02T00:00:00"/>
    <b v="1"/>
    <n v="17.254999999999999"/>
    <d v="2026-04-10T00:00:00"/>
    <n v="6.49"/>
    <d v="2023-01-03T00:00:00"/>
    <n v="12.99"/>
    <d v="2026-07-01T00:00:00"/>
    <n v="1254"/>
    <s v="ok"/>
    <x v="0"/>
    <n v="1.6587057010785822"/>
  </r>
  <r>
    <s v="RYAN"/>
    <s v="RYAN"/>
    <s v="Ryan Specialty Holdings, Inc."/>
    <x v="0"/>
    <n v="6411"/>
    <s v="INSURANCE AGENTS, BROKERS &amp; SERVICE"/>
    <d v="2021-07-22T00:00:00"/>
    <d v="2021-07-22T00:00:00"/>
    <b v="0"/>
    <n v="77.16"/>
    <d v="2025-04-03T00:00:00"/>
    <n v="25.57"/>
    <d v="2021-07-22T00:00:00"/>
    <n v="40.03"/>
    <d v="2026-07-01T00:00:00"/>
    <n v="1241"/>
    <s v="ok"/>
    <x v="0"/>
    <n v="2.0175987485334375"/>
  </r>
  <r>
    <s v="XPEV"/>
    <s v="XPEV"/>
    <s v="XPeng, Inc."/>
    <x v="9"/>
    <m/>
    <m/>
    <d v="2020-08-27T00:00:00"/>
    <d v="2021-07-02T00:00:00"/>
    <b v="1"/>
    <n v="56.45"/>
    <d v="2021-12-01T00:00:00"/>
    <n v="6.18"/>
    <d v="2022-11-02T00:00:00"/>
    <n v="13.6"/>
    <d v="2026-07-01T00:00:00"/>
    <n v="1254"/>
    <s v="ok"/>
    <x v="1"/>
    <n v="8.134304207119742"/>
  </r>
  <r>
    <s v="KSPI"/>
    <s v="KSPI"/>
    <s v="Kaspi.kz JSC"/>
    <x v="6"/>
    <m/>
    <m/>
    <d v="2019-03-19T00:00:00"/>
    <d v="2024-01-19T00:00:00"/>
    <b v="1"/>
    <n v="143.72"/>
    <d v="2024-07-18T00:00:00"/>
    <n v="68.59"/>
    <d v="2026-03-13T00:00:00"/>
    <n v="88.34"/>
    <d v="2026-07-01T00:00:00"/>
    <n v="614"/>
    <s v="ok"/>
    <x v="1"/>
    <n v="1.0953491762647616"/>
  </r>
  <r>
    <s v="RBRK"/>
    <s v="RBRK"/>
    <s v="Rubrik, Inc."/>
    <x v="2"/>
    <n v="7372"/>
    <s v="SERVICES-PREPACKAGED SOFTWARE"/>
    <d v="2024-04-25T00:00:00"/>
    <d v="2024-04-25T00:00:00"/>
    <b v="0"/>
    <n v="103"/>
    <d v="2025-06-06T00:00:00"/>
    <n v="28.34"/>
    <d v="2024-06-21T00:00:00"/>
    <n v="82.01"/>
    <d v="2026-07-01T00:00:00"/>
    <n v="547"/>
    <s v="ok"/>
    <x v="0"/>
    <n v="2.6344389555398728"/>
  </r>
  <r>
    <s v="ONON"/>
    <s v="ONON"/>
    <s v="On Holding AG"/>
    <x v="9"/>
    <m/>
    <m/>
    <d v="2021-09-15T00:00:00"/>
    <d v="2021-09-15T00:00:00"/>
    <b v="0"/>
    <n v="64.05"/>
    <d v="2025-01-30T00:00:00"/>
    <n v="15.44"/>
    <d v="2022-10-11T00:00:00"/>
    <n v="35.56"/>
    <d v="2026-07-01T00:00:00"/>
    <n v="1203"/>
    <s v="ok"/>
    <x v="0"/>
    <n v="3.1483160621761659"/>
  </r>
  <r>
    <s v="ASTS"/>
    <s v="ASTS"/>
    <s v="AST Spacemobile, Inc."/>
    <x v="11"/>
    <n v="4899"/>
    <s v="COMMUNICATIONS SERVICES, NEC"/>
    <d v="2021-04-07T00:00:00"/>
    <d v="2021-07-02T00:00:00"/>
    <b v="1"/>
    <n v="133.85990000000001"/>
    <d v="2026-05-28T00:00:00"/>
    <n v="1.97"/>
    <d v="2024-04-02T00:00:00"/>
    <n v="86.1"/>
    <d v="2026-07-01T00:00:00"/>
    <n v="1254"/>
    <s v="ok"/>
    <x v="0"/>
    <n v="66.949187817258888"/>
  </r>
  <r>
    <s v="RKLB"/>
    <s v="RKLB"/>
    <s v="Rocket Lab Corp."/>
    <x v="3"/>
    <n v="3760"/>
    <s v="GUIDED MISSILES &amp; SPACE VEHICLES &amp; PARTS"/>
    <d v="2021-08-25T00:00:00"/>
    <d v="2021-08-25T00:00:00"/>
    <b v="0"/>
    <n v="150.9999"/>
    <d v="2026-05-27T00:00:00"/>
    <n v="3.47"/>
    <d v="2024-04-16T00:00:00"/>
    <n v="100.07"/>
    <d v="2026-07-01T00:00:00"/>
    <n v="1217"/>
    <s v="ok"/>
    <x v="0"/>
    <n v="42.51582132564841"/>
  </r>
  <r>
    <s v="BSY"/>
    <s v="BSY"/>
    <s v="Bentley Systems, Inc."/>
    <x v="2"/>
    <n v="7372"/>
    <s v="SERVICES-PREPACKAGED SOFTWARE"/>
    <d v="2020-09-23T00:00:00"/>
    <d v="2021-07-02T00:00:00"/>
    <b v="1"/>
    <n v="71.92"/>
    <d v="2021-09-15T00:00:00"/>
    <n v="26.32"/>
    <d v="2022-05-11T00:00:00"/>
    <n v="31.28"/>
    <d v="2026-07-01T00:00:00"/>
    <n v="1254"/>
    <s v="ok"/>
    <x v="1"/>
    <n v="1.7325227963525835"/>
  </r>
  <r>
    <s v="CRDO"/>
    <s v="CRDO"/>
    <s v="Credo Technology Group Holding Ltd."/>
    <x v="2"/>
    <n v="3674"/>
    <s v="SEMICONDUCTORS &amp; RELATED DEVICES"/>
    <d v="2022-01-27T00:00:00"/>
    <d v="2022-01-27T00:00:00"/>
    <b v="0"/>
    <n v="308.66989999999998"/>
    <d v="2026-06-22T00:00:00"/>
    <n v="7.1950000000000003"/>
    <d v="2023-05-04T00:00:00"/>
    <n v="259.08999999999997"/>
    <d v="2026-07-01T00:00:00"/>
    <n v="1110"/>
    <s v="ok"/>
    <x v="0"/>
    <n v="41.900611535788741"/>
  </r>
  <r>
    <s v="RIVN"/>
    <s v="RIVN"/>
    <s v="Rivian Automotive, Inc."/>
    <x v="9"/>
    <n v="3711"/>
    <s v="MOTOR VEHICLES &amp; PASSENGER CAR BODIES"/>
    <d v="2021-11-10T00:00:00"/>
    <d v="2021-11-10T00:00:00"/>
    <b v="0"/>
    <n v="179.4699"/>
    <d v="2021-11-16T00:00:00"/>
    <n v="8.26"/>
    <d v="2024-04-16T00:00:00"/>
    <n v="17.18"/>
    <d v="2026-07-01T00:00:00"/>
    <n v="1163"/>
    <s v="ok"/>
    <x v="1"/>
    <n v="20.727590799031478"/>
  </r>
  <r>
    <s v="MNDY"/>
    <s v="MNDY"/>
    <s v="monday.com Ltd."/>
    <x v="2"/>
    <m/>
    <m/>
    <d v="2021-06-10T00:00:00"/>
    <d v="2021-07-02T00:00:00"/>
    <b v="1"/>
    <n v="450"/>
    <d v="2021-11-09T00:00:00"/>
    <n v="57.5"/>
    <d v="2026-04-10T00:00:00"/>
    <n v="76.260000000000005"/>
    <d v="2026-07-01T00:00:00"/>
    <n v="1254"/>
    <s v="ok"/>
    <x v="1"/>
    <n v="6.8260869565217392"/>
  </r>
  <r>
    <s v="SMMT"/>
    <s v="SMMT"/>
    <s v="Summit Therapeutics, Inc."/>
    <x v="8"/>
    <n v="2834"/>
    <s v="PHARMACEUTICAL PREPARATIONS"/>
    <d v="2015-03-05T00:00:00"/>
    <d v="2021-07-02T00:00:00"/>
    <b v="1"/>
    <n v="36.909999999999997"/>
    <d v="2025-04-24T00:00:00"/>
    <n v="0.66"/>
    <d v="2022-12-02T00:00:00"/>
    <n v="14.38"/>
    <d v="2026-07-01T00:00:00"/>
    <n v="1254"/>
    <s v="ok"/>
    <x v="0"/>
    <n v="54.924242424242422"/>
  </r>
  <r>
    <s v="MBLY"/>
    <s v="MBLY"/>
    <s v="Mobileye Global, Inc."/>
    <x v="2"/>
    <n v="7372"/>
    <s v="SERVICES-PREPACKAGED SOFTWARE"/>
    <d v="2022-10-26T00:00:00"/>
    <d v="2022-10-26T00:00:00"/>
    <b v="0"/>
    <n v="48.11"/>
    <d v="2023-02-15T00:00:00"/>
    <n v="6.47"/>
    <d v="2026-03-30T00:00:00"/>
    <n v="9.67"/>
    <d v="2026-07-01T00:00:00"/>
    <n v="922"/>
    <s v="ok"/>
    <x v="1"/>
    <n v="6.4358578052550239"/>
  </r>
  <r>
    <s v="ALAB"/>
    <s v="ALAB"/>
    <s v="Astera Labs, Inc."/>
    <x v="2"/>
    <n v="3674"/>
    <s v="SEMICONDUCTORS &amp; RELATED DEVICES"/>
    <d v="2024-03-20T00:00:00"/>
    <d v="2024-03-20T00:00:00"/>
    <b v="0"/>
    <n v="499.47620000000001"/>
    <d v="2026-06-30T00:00:00"/>
    <n v="36.215000000000003"/>
    <d v="2024-08-07T00:00:00"/>
    <n v="430.86"/>
    <d v="2026-07-01T00:00:00"/>
    <n v="572"/>
    <s v="ok"/>
    <x v="0"/>
    <n v="12.791970178102996"/>
  </r>
  <r>
    <s v="ULS"/>
    <s v="ULS"/>
    <s v="UL Solutions, Inc."/>
    <x v="0"/>
    <n v="8734"/>
    <s v="SERVICES-TESTING LABORATORIES"/>
    <d v="2024-04-12T00:00:00"/>
    <d v="2024-04-12T00:00:00"/>
    <b v="0"/>
    <n v="107.54"/>
    <d v="2026-05-06T00:00:00"/>
    <n v="33.15"/>
    <d v="2024-04-12T00:00:00"/>
    <n v="97.67"/>
    <d v="2026-07-01T00:00:00"/>
    <n v="556"/>
    <s v="ok"/>
    <x v="0"/>
    <n v="2.2440422322775269"/>
  </r>
  <r>
    <s v="TLN"/>
    <s v="TLN"/>
    <s v="Talen Energy Corp."/>
    <x v="5"/>
    <n v="4911"/>
    <s v="ELECTRIC SERVICES"/>
    <d v="2023-06-01T00:00:00"/>
    <d v="2024-07-10T00:00:00"/>
    <b v="1"/>
    <n v="451.28"/>
    <d v="2025-10-03T00:00:00"/>
    <n v="98.5"/>
    <d v="2024-08-02T00:00:00"/>
    <n v="360.79"/>
    <d v="2026-07-01T00:00:00"/>
    <n v="496"/>
    <s v="ok"/>
    <x v="0"/>
    <n v="3.5815228426395938"/>
  </r>
  <r>
    <s v="SN"/>
    <s v="SN"/>
    <s v="SharkNinja, Inc."/>
    <x v="7"/>
    <n v="3630"/>
    <s v="HOUSEHOLD APPLIANCES"/>
    <d v="2023-07-31T00:00:00"/>
    <d v="2023-07-31T00:00:00"/>
    <b v="0"/>
    <n v="152.55000000000001"/>
    <d v="2026-07-01T00:00:00"/>
    <n v="25.84"/>
    <d v="2023-08-04T00:00:00"/>
    <n v="151.84"/>
    <d v="2026-07-01T00:00:00"/>
    <n v="733"/>
    <s v="ok"/>
    <x v="0"/>
    <n v="4.9036377708978334"/>
  </r>
  <r>
    <s v="SOLV"/>
    <s v="SOLV"/>
    <s v="Solventum Corp."/>
    <x v="8"/>
    <n v="3841"/>
    <s v="SURGICAL &amp; MEDICAL INSTRUMENTS &amp; APPARATUS"/>
    <d v="2024-03-26T00:00:00"/>
    <d v="2024-04-01T00:00:00"/>
    <b v="1"/>
    <n v="88.2"/>
    <d v="2025-12-02T00:00:00"/>
    <n v="47.16"/>
    <d v="2024-07-16T00:00:00"/>
    <n v="78.349999999999994"/>
    <d v="2026-07-01T00:00:00"/>
    <n v="565"/>
    <s v="ok"/>
    <x v="0"/>
    <n v="0.87022900763358801"/>
  </r>
  <r>
    <s v="YMM"/>
    <s v="YMM"/>
    <s v="Full Truck Alliance Co., Ltd."/>
    <x v="3"/>
    <m/>
    <m/>
    <d v="2021-06-22T00:00:00"/>
    <d v="2021-07-02T00:00:00"/>
    <b v="1"/>
    <n v="19.71"/>
    <d v="2021-07-02T00:00:00"/>
    <n v="4.12"/>
    <d v="2022-03-14T00:00:00"/>
    <n v="8.4600000000000009"/>
    <d v="2026-07-01T00:00:00"/>
    <n v="1254"/>
    <s v="ok"/>
    <x v="1"/>
    <n v="3.7839805825242716"/>
  </r>
  <r>
    <s v="ACI"/>
    <s v="ACI"/>
    <s v="Albertsons Cos., Inc."/>
    <x v="7"/>
    <n v="5411"/>
    <s v="RETAIL-GROCERY STORES"/>
    <d v="2020-06-26T00:00:00"/>
    <d v="2021-07-02T00:00:00"/>
    <b v="1"/>
    <n v="37.99"/>
    <d v="2022-03-07T00:00:00"/>
    <n v="13.164999999999999"/>
    <d v="2026-06-30T00:00:00"/>
    <n v="13.81"/>
    <d v="2026-07-01T00:00:00"/>
    <n v="1254"/>
    <s v="ok"/>
    <x v="1"/>
    <n v="1.8856817318647934"/>
  </r>
  <r>
    <s v="CNM"/>
    <s v="CNM"/>
    <s v="Core &amp; Main, Inc."/>
    <x v="3"/>
    <n v="5099"/>
    <s v="WHOLESALE-DURABLE GOODS, NEC"/>
    <d v="2021-07-23T00:00:00"/>
    <d v="2021-07-23T00:00:00"/>
    <b v="0"/>
    <n v="67.180000000000007"/>
    <d v="2025-09-05T00:00:00"/>
    <n v="18.75"/>
    <d v="2022-12-20T00:00:00"/>
    <n v="45.41"/>
    <d v="2026-07-01T00:00:00"/>
    <n v="1240"/>
    <s v="ok"/>
    <x v="0"/>
    <n v="2.5829333333333335"/>
  </r>
  <r>
    <s v="DRS"/>
    <s v="DRS"/>
    <s v="Leonardo DRS, Inc."/>
    <x v="3"/>
    <n v="3812"/>
    <s v="SEARCH, DETECTION, NAVIGATION, GUIDANCE, AERONAUTICAL SYS"/>
    <d v="2021-03-24T00:00:00"/>
    <d v="2022-11-29T00:00:00"/>
    <b v="1"/>
    <n v="50.59"/>
    <d v="2026-06-12T00:00:00"/>
    <n v="9.11"/>
    <d v="2022-11-30T00:00:00"/>
    <n v="42.685000000000002"/>
    <d v="2026-07-01T00:00:00"/>
    <n v="899"/>
    <s v="ok"/>
    <x v="0"/>
    <n v="4.5532381997804618"/>
  </r>
  <r>
    <s v="CART"/>
    <s v="CART"/>
    <s v="Maplebear, Inc."/>
    <x v="4"/>
    <n v="7389"/>
    <s v="SERVICES-BUSINESS SERVICES, NEC"/>
    <d v="2023-09-19T00:00:00"/>
    <d v="2023-09-19T00:00:00"/>
    <b v="0"/>
    <n v="53.5"/>
    <d v="2025-08-08T00:00:00"/>
    <n v="22.13"/>
    <d v="2024-01-05T00:00:00"/>
    <n v="44.83"/>
    <d v="2026-07-01T00:00:00"/>
    <n v="698"/>
    <s v="ok"/>
    <x v="0"/>
    <n v="1.4175327609579758"/>
  </r>
  <r>
    <s v="TEM"/>
    <s v="TEM"/>
    <s v="Tempus AI, Inc."/>
    <x v="8"/>
    <n v="7370"/>
    <s v="SERVICES-COMPUTER PROGRAMMING, DATA PROCESSING, ETC."/>
    <d v="2024-06-14T00:00:00"/>
    <d v="2024-06-14T00:00:00"/>
    <b v="0"/>
    <n v="104.32"/>
    <d v="2025-10-09T00:00:00"/>
    <n v="22.89"/>
    <d v="2024-06-25T00:00:00"/>
    <n v="61.6"/>
    <d v="2026-07-01T00:00:00"/>
    <n v="512"/>
    <s v="ok"/>
    <x v="0"/>
    <n v="3.5574486675404104"/>
  </r>
  <r>
    <s v="BROS"/>
    <s v="BROS"/>
    <s v="Dutch Bros, Inc."/>
    <x v="4"/>
    <n v="5810"/>
    <s v="RETAIL-EATING &amp; DRINKING PLACES"/>
    <d v="2021-09-15T00:00:00"/>
    <d v="2021-09-15T00:00:00"/>
    <b v="0"/>
    <n v="86.88"/>
    <d v="2025-02-18T00:00:00"/>
    <n v="20.05"/>
    <d v="2022-05-12T00:00:00"/>
    <n v="73.31"/>
    <d v="2026-07-01T00:00:00"/>
    <n v="1203"/>
    <s v="ok"/>
    <x v="0"/>
    <n v="3.3331670822942643"/>
  </r>
  <r>
    <s v="DOCS"/>
    <s v="DOCS"/>
    <s v="Doximity, Inc."/>
    <x v="8"/>
    <n v="7371"/>
    <s v="SERVICES-COMPUTER PROGRAMMING SERVICES"/>
    <d v="2021-06-24T00:00:00"/>
    <d v="2021-07-02T00:00:00"/>
    <b v="1"/>
    <n v="107.79"/>
    <d v="2021-09-10T00:00:00"/>
    <n v="17.149999999999999"/>
    <d v="2026-05-14T00:00:00"/>
    <n v="21.59"/>
    <d v="2026-07-01T00:00:00"/>
    <n v="1254"/>
    <s v="ok"/>
    <x v="1"/>
    <n v="5.2851311953352784"/>
  </r>
  <r>
    <s v="DTM"/>
    <s v="DTM"/>
    <s v="DT Midstream, Inc."/>
    <x v="1"/>
    <n v="4922"/>
    <s v="NATURAL GAS TRANSMISSION"/>
    <d v="2021-06-18T00:00:00"/>
    <d v="2021-07-02T00:00:00"/>
    <b v="1"/>
    <n v="152.88"/>
    <d v="2026-05-26T00:00:00"/>
    <n v="38.46"/>
    <d v="2021-07-08T00:00:00"/>
    <n v="143.78"/>
    <d v="2026-07-01T00:00:00"/>
    <n v="1254"/>
    <s v="ok"/>
    <x v="0"/>
    <n v="2.9750390015600621"/>
  </r>
  <r>
    <s v="HIMS"/>
    <s v="HIMS"/>
    <s v="Hims &amp; Hers Health, Inc."/>
    <x v="8"/>
    <n v="8011"/>
    <s v="SERVICES-OFFICES &amp; CLINICS OF DOCTORS OF MEDICINE"/>
    <d v="2021-01-21T00:00:00"/>
    <d v="2021-07-02T00:00:00"/>
    <b v="1"/>
    <n v="72.98"/>
    <d v="2025-02-19T00:00:00"/>
    <n v="2.72"/>
    <d v="2022-05-12T00:00:00"/>
    <n v="37.57"/>
    <d v="2026-07-01T00:00:00"/>
    <n v="1254"/>
    <s v="ok"/>
    <x v="0"/>
    <n v="25.830882352941178"/>
  </r>
  <r>
    <s v="IONQ"/>
    <s v="IONQ"/>
    <s v="IonQ, Inc."/>
    <x v="2"/>
    <n v="7373"/>
    <s v="SERVICES-COMPUTER INTEGRATED SYSTEMS DESIGN"/>
    <d v="2021-01-04T00:00:00"/>
    <d v="2021-10-01T00:00:00"/>
    <b v="1"/>
    <n v="84.64"/>
    <d v="2025-10-13T00:00:00"/>
    <n v="3.04"/>
    <d v="2022-12-28T00:00:00"/>
    <n v="51.4"/>
    <d v="2026-07-01T00:00:00"/>
    <n v="1191"/>
    <s v="ok"/>
    <x v="0"/>
    <n v="26.842105263157894"/>
  </r>
  <r>
    <s v="SMR"/>
    <s v="SMR"/>
    <s v="NuScale Power Corp."/>
    <x v="3"/>
    <n v="3443"/>
    <s v="FABRICATED PLATE WORK (BOILER SHOPS)"/>
    <d v="2022-05-03T00:00:00"/>
    <d v="2022-05-03T00:00:00"/>
    <b v="0"/>
    <n v="57.42"/>
    <d v="2025-10-16T00:00:00"/>
    <n v="1.81"/>
    <d v="2023-11-09T00:00:00"/>
    <n v="10.15"/>
    <d v="2026-07-01T00:00:00"/>
    <n v="1044"/>
    <s v="ok"/>
    <x v="0"/>
    <n v="30.723756906077348"/>
  </r>
  <r>
    <s v="SARO"/>
    <s v="SARO"/>
    <s v="StandardAero, Inc."/>
    <x v="3"/>
    <n v="3724"/>
    <s v="AIRCRAFT ENGINES &amp; ENGINE PARTS"/>
    <d v="2024-10-02T00:00:00"/>
    <d v="2024-10-02T00:00:00"/>
    <b v="0"/>
    <n v="34.479999999999997"/>
    <d v="2026-01-20T00:00:00"/>
    <n v="21.31"/>
    <d v="2025-04-07T00:00:00"/>
    <n v="30"/>
    <d v="2026-07-01T00:00:00"/>
    <n v="437"/>
    <s v="ok"/>
    <x v="0"/>
    <n v="0.61801970905678083"/>
  </r>
  <r>
    <s v="PCOR"/>
    <s v="PCOR"/>
    <s v="Procore Technologies, Inc."/>
    <x v="6"/>
    <n v="7372"/>
    <s v="SERVICES-PREPACKAGED SOFTWARE"/>
    <d v="2021-05-20T00:00:00"/>
    <d v="2021-07-02T00:00:00"/>
    <b v="1"/>
    <n v="108.75"/>
    <d v="2021-08-02T00:00:00"/>
    <n v="38.03"/>
    <d v="2026-06-25T00:00:00"/>
    <n v="42.14"/>
    <d v="2026-07-01T00:00:00"/>
    <n v="1254"/>
    <s v="ok"/>
    <x v="1"/>
    <n v="1.8595845385222192"/>
  </r>
  <r>
    <s v="U"/>
    <s v="U"/>
    <s v="Unity Software, Inc."/>
    <x v="2"/>
    <n v="7372"/>
    <s v="SERVICES-PREPACKAGED SOFTWARE"/>
    <d v="2020-09-18T00:00:00"/>
    <d v="2021-07-02T00:00:00"/>
    <b v="1"/>
    <n v="210"/>
    <d v="2021-11-18T00:00:00"/>
    <n v="13.895"/>
    <d v="2024-08-07T00:00:00"/>
    <n v="30.19"/>
    <d v="2026-07-01T00:00:00"/>
    <n v="1254"/>
    <s v="ok"/>
    <x v="1"/>
    <n v="14.113350125944583"/>
  </r>
  <r>
    <s v="LINE"/>
    <s v="LINE"/>
    <s v="Lineage, Inc."/>
    <x v="6"/>
    <n v="6798"/>
    <s v="REAL ESTATE INVESTMENT TRUSTS"/>
    <d v="2024-07-25T00:00:00"/>
    <d v="2024-07-25T00:00:00"/>
    <b v="0"/>
    <n v="89.85"/>
    <d v="2024-07-31T00:00:00"/>
    <n v="31.33"/>
    <d v="2026-03-30T00:00:00"/>
    <n v="43.59"/>
    <d v="2026-07-01T00:00:00"/>
    <n v="485"/>
    <s v="ok"/>
    <x v="1"/>
    <n v="1.8678582827960422"/>
  </r>
  <r>
    <s v="KD"/>
    <s v="KD"/>
    <s v="Kyndryl Holdings, Inc."/>
    <x v="2"/>
    <n v="7373"/>
    <s v="SERVICES-COMPUTER INTEGRATED SYSTEMS DESIGN"/>
    <d v="2021-10-22T00:00:00"/>
    <d v="2021-11-04T00:00:00"/>
    <b v="1"/>
    <n v="44.2"/>
    <d v="2025-07-08T00:00:00"/>
    <n v="7.93"/>
    <d v="2022-10-13T00:00:00"/>
    <n v="12"/>
    <d v="2026-07-01T00:00:00"/>
    <n v="1167"/>
    <s v="ok"/>
    <x v="0"/>
    <n v="4.5737704918032795"/>
  </r>
  <r>
    <s v="TTAN"/>
    <s v="TTAN"/>
    <s v="ServiceTitan, Inc."/>
    <x v="2"/>
    <n v="7372"/>
    <s v="SERVICES-PREPACKAGED SOFTWARE"/>
    <d v="2024-12-12T00:00:00"/>
    <d v="2024-12-12T00:00:00"/>
    <b v="0"/>
    <n v="131.33000000000001"/>
    <d v="2025-05-16T00:00:00"/>
    <n v="54.17"/>
    <d v="2026-05-13T00:00:00"/>
    <n v="74.034999999999997"/>
    <d v="2026-07-01T00:00:00"/>
    <n v="387"/>
    <s v="ok"/>
    <x v="1"/>
    <n v="1.4244046520214142"/>
  </r>
  <r>
    <s v="BIRK"/>
    <s v="BIRK"/>
    <s v="Birkenstock Holding Plc"/>
    <x v="9"/>
    <m/>
    <m/>
    <d v="2023-10-11T00:00:00"/>
    <d v="2023-10-11T00:00:00"/>
    <b v="0"/>
    <n v="64.78"/>
    <d v="2024-08-26T00:00:00"/>
    <n v="31.12"/>
    <d v="2026-05-15T00:00:00"/>
    <n v="44.03"/>
    <d v="2026-07-01T00:00:00"/>
    <n v="682"/>
    <s v="ok"/>
    <x v="1"/>
    <n v="1.0816195372750641"/>
  </r>
  <r>
    <s v="FYBR^26"/>
    <s v="FYBR"/>
    <s v="Frontier Communications Parent, Inc."/>
    <x v="11"/>
    <n v="4813"/>
    <s v="TELEPHONE COMMUNICATIONS (NO RADIOTELEPHONE)"/>
    <d v="2021-05-04T00:00:00"/>
    <d v="2021-07-02T00:00:00"/>
    <b v="1"/>
    <n v="39.21"/>
    <d v="2024-09-04T00:00:00"/>
    <n v="11.6501"/>
    <d v="2023-07-17T00:00:00"/>
    <n v="38.49"/>
    <d v="2026-01-16T00:00:00"/>
    <n v="1141"/>
    <s v="ok"/>
    <x v="0"/>
    <n v="2.3656363464691288"/>
  </r>
  <r>
    <s v="CAVA"/>
    <s v="CAVA"/>
    <s v="Cava Group, Inc."/>
    <x v="4"/>
    <n v="5812"/>
    <s v="RETAIL-EATING PLACES"/>
    <d v="2023-06-15T00:00:00"/>
    <d v="2023-06-15T00:00:00"/>
    <b v="0"/>
    <n v="172.4299"/>
    <d v="2024-11-13T00:00:00"/>
    <n v="29.05"/>
    <d v="2023-10-04T00:00:00"/>
    <n v="79.78"/>
    <d v="2026-07-01T00:00:00"/>
    <n v="763"/>
    <s v="ok"/>
    <x v="0"/>
    <n v="4.9356247848537"/>
  </r>
  <r>
    <s v="KVYO"/>
    <s v="KVYO"/>
    <s v="Klaviyo, Inc."/>
    <x v="2"/>
    <n v="7372"/>
    <s v="SERVICES-PREPACKAGED SOFTWARE"/>
    <d v="2023-09-20T00:00:00"/>
    <d v="2023-09-20T00:00:00"/>
    <b v="0"/>
    <n v="49.55"/>
    <d v="2025-02-11T00:00:00"/>
    <n v="12.53"/>
    <d v="2026-06-22T00:00:00"/>
    <n v="16.36"/>
    <d v="2026-07-01T00:00:00"/>
    <n v="697"/>
    <s v="ok"/>
    <x v="1"/>
    <n v="2.9545091779728652"/>
  </r>
  <r>
    <s v="AUR"/>
    <s v="AUR"/>
    <s v="Aurora Innovation, Inc."/>
    <x v="9"/>
    <n v="7373"/>
    <s v="SERVICES-COMPUTER INTEGRATED SYSTEMS DESIGN"/>
    <d v="2021-11-04T00:00:00"/>
    <d v="2021-11-04T00:00:00"/>
    <b v="0"/>
    <n v="17.770299999999999"/>
    <d v="2021-11-19T00:00:00"/>
    <n v="1.1000000000000001"/>
    <d v="2022-12-27T00:00:00"/>
    <n v="7.07"/>
    <d v="2026-07-01T00:00:00"/>
    <n v="1167"/>
    <s v="ok"/>
    <x v="1"/>
    <n v="15.154818181818179"/>
  </r>
  <r>
    <s v="RGC"/>
    <s v="RGC"/>
    <s v="Regencell Bioscience Holdings Ltd."/>
    <x v="8"/>
    <m/>
    <m/>
    <d v="2021-07-16T00:00:00"/>
    <d v="2021-07-16T00:00:00"/>
    <b v="0"/>
    <n v="83.6"/>
    <d v="2025-06-16T00:00:00"/>
    <n v="7.9699999999999993E-2"/>
    <d v="2024-07-22T00:00:00"/>
    <n v="8.0299999999999994"/>
    <d v="2026-07-01T00:00:00"/>
    <n v="1087"/>
    <s v="ok"/>
    <x v="0"/>
    <n v="1047.9335006273525"/>
  </r>
  <r>
    <s v="NXT"/>
    <s v="NXT"/>
    <s v="Nextpower, Inc."/>
    <x v="3"/>
    <n v="3812"/>
    <s v="SEARCH, DETECTION, NAVIGATION, GUIDANCE, AERONAUTICAL SYS"/>
    <d v="2023-02-09T00:00:00"/>
    <d v="2023-02-09T00:00:00"/>
    <b v="0"/>
    <n v="163.13"/>
    <d v="2026-05-29T00:00:00"/>
    <n v="28.240100000000002"/>
    <d v="2023-03-17T00:00:00"/>
    <n v="116.15"/>
    <d v="2026-07-01T00:00:00"/>
    <n v="850"/>
    <s v="ok"/>
    <x v="0"/>
    <n v="4.7765376184928519"/>
  </r>
  <r>
    <s v="INFA^25"/>
    <s v="INFA"/>
    <s v="Informatica, Inc. (California)"/>
    <x v="2"/>
    <n v="7372"/>
    <s v="SERVICES-PREPACKAGED SOFTWARE"/>
    <d v="2021-10-27T00:00:00"/>
    <d v="2021-10-27T00:00:00"/>
    <b v="0"/>
    <n v="40.130000000000003"/>
    <d v="2021-12-16T00:00:00"/>
    <n v="13.29"/>
    <d v="2023-05-04T00:00:00"/>
    <n v="24.79"/>
    <d v="2025-11-17T00:00:00"/>
    <n v="1019"/>
    <s v="ok"/>
    <x v="1"/>
    <n v="2.0195635816403317"/>
  </r>
  <r>
    <s v="SRAD"/>
    <s v="SRAD"/>
    <s v="Sportradar Group AG"/>
    <x v="4"/>
    <m/>
    <m/>
    <d v="2021-09-14T00:00:00"/>
    <d v="2021-09-14T00:00:00"/>
    <b v="0"/>
    <n v="32.22"/>
    <d v="2025-08-25T00:00:00"/>
    <n v="7.1"/>
    <d v="2022-07-13T00:00:00"/>
    <n v="15.12"/>
    <d v="2026-07-01T00:00:00"/>
    <n v="1204"/>
    <s v="ok"/>
    <x v="0"/>
    <n v="3.5380281690140842"/>
  </r>
  <r>
    <s v="LOAR"/>
    <s v="LOAR"/>
    <s v="Loar Holdings, Inc."/>
    <x v="3"/>
    <n v="3728"/>
    <s v="AIRCRAFT PARTS &amp; AUXILIARY EQUIPMENT, NEC"/>
    <d v="2024-04-25T00:00:00"/>
    <d v="2024-04-25T00:00:00"/>
    <b v="0"/>
    <n v="99.67"/>
    <d v="2025-05-12T00:00:00"/>
    <n v="42.57"/>
    <d v="2024-04-25T00:00:00"/>
    <n v="80.260000000000005"/>
    <d v="2026-07-01T00:00:00"/>
    <n v="547"/>
    <s v="ok"/>
    <x v="0"/>
    <n v="1.3413201785294808"/>
  </r>
  <r>
    <s v="BZ"/>
    <s v="BZ"/>
    <s v="Kanzhun Ltd."/>
    <x v="2"/>
    <m/>
    <m/>
    <d v="2021-06-11T00:00:00"/>
    <d v="2021-07-02T00:00:00"/>
    <b v="1"/>
    <n v="43.219900000000003"/>
    <d v="2021-12-10T00:00:00"/>
    <n v="9.7449999999999992"/>
    <d v="2022-10-24T00:00:00"/>
    <n v="13.48"/>
    <d v="2026-07-01T00:00:00"/>
    <n v="1254"/>
    <s v="ok"/>
    <x v="1"/>
    <n v="3.4350846587993851"/>
  </r>
  <r>
    <s v="CFLT^26"/>
    <s v="CFLT"/>
    <s v="Confluent, Inc."/>
    <x v="2"/>
    <n v="7372"/>
    <s v="SERVICES-PREPACKAGED SOFTWARE"/>
    <d v="2021-06-24T00:00:00"/>
    <d v="2021-07-02T00:00:00"/>
    <b v="1"/>
    <n v="94.97"/>
    <d v="2021-11-05T00:00:00"/>
    <n v="14.69"/>
    <d v="2023-11-02T00:00:00"/>
    <n v="30.99"/>
    <d v="2026-03-16T00:00:00"/>
    <n v="1180"/>
    <s v="ok"/>
    <x v="1"/>
    <n v="5.4649421375085092"/>
  </r>
  <r>
    <s v="OKLO"/>
    <s v="OKLO"/>
    <s v="Oklo, Inc."/>
    <x v="0"/>
    <n v="4911"/>
    <s v="ELECTRIC SERVICES"/>
    <d v="2024-05-10T00:00:00"/>
    <d v="2024-05-10T00:00:00"/>
    <b v="0"/>
    <n v="193.84"/>
    <d v="2025-10-15T00:00:00"/>
    <n v="5.35"/>
    <d v="2024-09-09T00:00:00"/>
    <n v="52.45"/>
    <d v="2026-07-01T00:00:00"/>
    <n v="536"/>
    <s v="ok"/>
    <x v="0"/>
    <n v="35.231775700934584"/>
  </r>
  <r>
    <s v="ROIV"/>
    <s v="ROIV"/>
    <s v="Roivant Sciences Ltd."/>
    <x v="8"/>
    <n v="2834"/>
    <s v="PHARMACEUTICAL PREPARATIONS"/>
    <d v="2021-10-01T00:00:00"/>
    <d v="2021-10-01T00:00:00"/>
    <b v="0"/>
    <n v="35.9"/>
    <d v="2026-06-30T00:00:00"/>
    <n v="2.52"/>
    <d v="2022-05-12T00:00:00"/>
    <n v="35.03"/>
    <d v="2026-07-01T00:00:00"/>
    <n v="1191"/>
    <s v="ok"/>
    <x v="0"/>
    <n v="13.246031746031743"/>
  </r>
  <r>
    <s v="BRBR"/>
    <s v="BRBR"/>
    <s v="BellRing Brands, Inc."/>
    <x v="7"/>
    <n v="2000"/>
    <s v="FOOD AND KINDRED PRODUCTS"/>
    <d v="2019-10-17T00:00:00"/>
    <d v="2021-07-02T00:00:00"/>
    <b v="1"/>
    <n v="80.67"/>
    <d v="2025-01-30T00:00:00"/>
    <n v="7.82"/>
    <d v="2026-06-08T00:00:00"/>
    <n v="13.35"/>
    <d v="2026-07-01T00:00:00"/>
    <n v="1254"/>
    <s v="ok"/>
    <x v="1"/>
    <n v="9.3158567774936056"/>
  </r>
  <r>
    <s v="GTLB"/>
    <s v="GTLB"/>
    <s v="Gitlab, Inc."/>
    <x v="2"/>
    <n v="7372"/>
    <s v="SERVICES-PREPACKAGED SOFTWARE"/>
    <d v="2021-10-14T00:00:00"/>
    <d v="2021-10-14T00:00:00"/>
    <b v="0"/>
    <n v="137"/>
    <d v="2021-11-09T00:00:00"/>
    <n v="18.73"/>
    <d v="2026-04-10T00:00:00"/>
    <n v="31.53"/>
    <d v="2026-07-01T00:00:00"/>
    <n v="1182"/>
    <s v="ok"/>
    <x v="1"/>
    <n v="6.3144687666844632"/>
  </r>
  <r>
    <s v="ESAB"/>
    <s v="ESAB"/>
    <s v="ESAB Corp."/>
    <x v="3"/>
    <n v="3569"/>
    <s v="GENERAL INDUSTRIAL MACHINERY &amp; EQUIPMENT, NEC"/>
    <d v="2022-03-21T00:00:00"/>
    <d v="2022-04-05T00:00:00"/>
    <b v="1"/>
    <n v="137.41999999999999"/>
    <d v="2026-02-12T00:00:00"/>
    <n v="32.119999999999997"/>
    <d v="2022-10-11T00:00:00"/>
    <n v="93.69"/>
    <d v="2026-07-01T00:00:00"/>
    <n v="1063"/>
    <s v="ok"/>
    <x v="0"/>
    <n v="3.2783312577833121"/>
  </r>
  <r>
    <s v="LLYVK"/>
    <s v="LLYVK"/>
    <s v="Liberty Live Holdings, Inc."/>
    <x v="4"/>
    <m/>
    <m/>
    <d v="2023-08-04T00:00:00"/>
    <d v="2023-08-04T00:00:00"/>
    <b v="0"/>
    <n v="108.56"/>
    <d v="2026-07-01T00:00:00"/>
    <n v="29.63"/>
    <d v="2023-08-04T00:00:00"/>
    <n v="107.27"/>
    <d v="2026-07-01T00:00:00"/>
    <n v="729"/>
    <s v="ok"/>
    <x v="0"/>
    <n v="2.6638542018224776"/>
  </r>
  <r>
    <s v="BXSL"/>
    <s v="BXSL"/>
    <s v="Blackstone Secured Lending Fund"/>
    <x v="6"/>
    <m/>
    <m/>
    <d v="2021-10-28T00:00:00"/>
    <d v="2021-10-28T00:00:00"/>
    <b v="0"/>
    <n v="38.32"/>
    <d v="2021-12-27T00:00:00"/>
    <n v="22"/>
    <d v="2022-07-05T00:00:00"/>
    <n v="23.85"/>
    <d v="2026-07-01T00:00:00"/>
    <n v="1172"/>
    <s v="ok"/>
    <x v="1"/>
    <n v="0.74181818181818182"/>
  </r>
  <r>
    <s v="JOBY"/>
    <s v="JOBY"/>
    <s v="Joby Aviation, Inc."/>
    <x v="3"/>
    <n v="3721"/>
    <s v="AIRCRAFT"/>
    <d v="2021-08-11T00:00:00"/>
    <d v="2021-08-11T00:00:00"/>
    <b v="0"/>
    <n v="20.95"/>
    <d v="2025-08-04T00:00:00"/>
    <n v="3.15"/>
    <d v="2022-12-27T00:00:00"/>
    <n v="8.84"/>
    <d v="2026-07-01T00:00:00"/>
    <n v="1227"/>
    <s v="ok"/>
    <x v="0"/>
    <n v="5.6507936507936511"/>
  </r>
  <r>
    <s v="PATH"/>
    <s v="PATH"/>
    <s v="UiPath, Inc."/>
    <x v="2"/>
    <n v="7372"/>
    <s v="SERVICES-PREPACKAGED SOFTWARE"/>
    <d v="2021-04-21T00:00:00"/>
    <d v="2021-07-02T00:00:00"/>
    <b v="1"/>
    <n v="69.599999999999994"/>
    <d v="2021-07-09T00:00:00"/>
    <n v="9.2002000000000006"/>
    <d v="2026-05-14T00:00:00"/>
    <n v="11.55"/>
    <d v="2026-07-01T00:00:00"/>
    <n v="1254"/>
    <s v="ok"/>
    <x v="1"/>
    <n v="6.5650529336318764"/>
  </r>
  <r>
    <s v="WAY"/>
    <s v="WAY"/>
    <s v="Waystar Holding Corp."/>
    <x v="8"/>
    <n v="7373"/>
    <s v="SERVICES-COMPUTER INTEGRATED SYSTEMS DESIGN"/>
    <d v="2024-06-07T00:00:00"/>
    <d v="2024-06-07T00:00:00"/>
    <b v="0"/>
    <n v="48.11"/>
    <d v="2025-02-18T00:00:00"/>
    <n v="17.260000000000002"/>
    <d v="2026-06-22T00:00:00"/>
    <n v="21.43"/>
    <d v="2026-07-01T00:00:00"/>
    <n v="517"/>
    <s v="ok"/>
    <x v="1"/>
    <n v="1.7873696407879487"/>
  </r>
  <r>
    <s v="STVN"/>
    <s v="STVN"/>
    <s v="Stevanato Group SpA"/>
    <x v="8"/>
    <m/>
    <m/>
    <d v="2021-07-16T00:00:00"/>
    <d v="2021-07-16T00:00:00"/>
    <b v="0"/>
    <n v="36.299999999999997"/>
    <d v="2023-08-09T00:00:00"/>
    <n v="12.89"/>
    <d v="2026-03-27T00:00:00"/>
    <n v="18.34"/>
    <d v="2026-07-01T00:00:00"/>
    <n v="1245"/>
    <s v="ok"/>
    <x v="1"/>
    <n v="1.8161365399534519"/>
  </r>
  <r>
    <s v="ACHR"/>
    <s v="ACHR"/>
    <s v="Archer Aviation, Inc."/>
    <x v="3"/>
    <n v="3721"/>
    <s v="AIRCRAFT"/>
    <d v="2021-09-17T00:00:00"/>
    <d v="2021-09-17T00:00:00"/>
    <b v="0"/>
    <n v="14.62"/>
    <d v="2025-10-15T00:00:00"/>
    <n v="1.62"/>
    <d v="2022-12-27T00:00:00"/>
    <n v="4.92"/>
    <d v="2026-07-01T00:00:00"/>
    <n v="1201"/>
    <s v="ok"/>
    <x v="0"/>
    <n v="8.0246913580246915"/>
  </r>
  <r>
    <s v="OS^26"/>
    <s v="OS"/>
    <s v="OneStream, Inc."/>
    <x v="2"/>
    <n v="7372"/>
    <s v="SERVICES-PREPACKAGED SOFTWARE"/>
    <d v="2024-07-24T00:00:00"/>
    <d v="2024-07-24T00:00:00"/>
    <b v="0"/>
    <n v="35.39"/>
    <d v="2024-11-11T00:00:00"/>
    <n v="16.510000000000002"/>
    <d v="2025-10-16T00:00:00"/>
    <n v="24"/>
    <d v="2026-03-31T00:00:00"/>
    <n v="423"/>
    <s v="ok"/>
    <x v="1"/>
    <n v="1.1435493640218048"/>
  </r>
  <r>
    <s v="ZK^25"/>
    <s v="ZK"/>
    <s v="ZEEKR Intelligent Technology Holding Ltd."/>
    <x v="9"/>
    <m/>
    <m/>
    <d v="2024-05-10T00:00:00"/>
    <d v="2024-05-10T00:00:00"/>
    <b v="0"/>
    <n v="33.3185"/>
    <d v="2025-03-11T00:00:00"/>
    <n v="13"/>
    <d v="2024-08-12T00:00:00"/>
    <n v="26.73"/>
    <d v="2025-12-19T00:00:00"/>
    <n v="405"/>
    <s v="ok"/>
    <x v="0"/>
    <n v="1.5629615384615385"/>
  </r>
  <r>
    <s v="STEP"/>
    <s v="STEP"/>
    <s v="StepStone Group, Inc."/>
    <x v="6"/>
    <n v="6282"/>
    <s v="INVESTMENT ADVICE"/>
    <d v="2020-09-16T00:00:00"/>
    <d v="2021-07-02T00:00:00"/>
    <b v="1"/>
    <n v="77.795000000000002"/>
    <d v="2026-01-16T00:00:00"/>
    <n v="19.829999999999998"/>
    <d v="2023-05-25T00:00:00"/>
    <n v="40.655000000000001"/>
    <d v="2026-07-01T00:00:00"/>
    <n v="1254"/>
    <s v="ok"/>
    <x v="0"/>
    <n v="2.9230963187090273"/>
  </r>
  <r>
    <s v="LTH"/>
    <s v="LTH"/>
    <s v="Life Time Group Holdings, Inc."/>
    <x v="4"/>
    <n v="7997"/>
    <s v="SERVICES-MEMBERSHIP SPORTS &amp; RECREATION CLUBS"/>
    <d v="2021-10-07T00:00:00"/>
    <d v="2021-10-07T00:00:00"/>
    <b v="0"/>
    <n v="41.79"/>
    <d v="2026-06-26T00:00:00"/>
    <n v="8.75"/>
    <d v="2022-11-04T00:00:00"/>
    <n v="40.04"/>
    <d v="2026-07-01T00:00:00"/>
    <n v="1187"/>
    <s v="ok"/>
    <x v="0"/>
    <n v="3.7759999999999998"/>
  </r>
  <r>
    <s v="JXN"/>
    <s v="JXN"/>
    <s v="Jackson Financial, Inc."/>
    <x v="6"/>
    <n v="6311"/>
    <s v="LIFE INSURANCE"/>
    <d v="2021-09-01T00:00:00"/>
    <d v="2021-09-20T00:00:00"/>
    <b v="1"/>
    <n v="123.61"/>
    <d v="2026-02-03T00:00:00"/>
    <n v="23.56"/>
    <d v="2022-07-14T00:00:00"/>
    <n v="104.53"/>
    <d v="2026-07-01T00:00:00"/>
    <n v="1200"/>
    <s v="ok"/>
    <x v="0"/>
    <n v="4.2466044142614603"/>
  </r>
  <r>
    <s v="ALGM"/>
    <s v="ALGM"/>
    <s v="Allegro MicroSystems, Inc."/>
    <x v="2"/>
    <n v="3674"/>
    <s v="SEMICONDUCTORS &amp; RELATED DEVICES"/>
    <d v="2020-10-29T00:00:00"/>
    <d v="2021-07-02T00:00:00"/>
    <b v="1"/>
    <n v="71.77"/>
    <d v="2026-06-30T00:00:00"/>
    <n v="16.38"/>
    <d v="2025-04-21T00:00:00"/>
    <n v="63.2"/>
    <d v="2026-07-01T00:00:00"/>
    <n v="1254"/>
    <s v="ok"/>
    <x v="0"/>
    <n v="3.381562881562882"/>
  </r>
  <r>
    <s v="CCC"/>
    <s v="CCC"/>
    <s v="CCC Intelligent Solutions Holdings, Inc."/>
    <x v="6"/>
    <n v="7372"/>
    <s v="SERVICES-PREPACKAGED SOFTWARE"/>
    <d v="2021-08-02T00:00:00"/>
    <d v="2025-10-31T00:00:00"/>
    <b v="1"/>
    <n v="9.44"/>
    <d v="2025-10-31T00:00:00"/>
    <n v="4.08"/>
    <d v="2026-05-13T00:00:00"/>
    <n v="5.38"/>
    <d v="2026-07-01T00:00:00"/>
    <n v="166"/>
    <s v="ok"/>
    <x v="1"/>
    <n v="1.3137254901960782"/>
  </r>
  <r>
    <s v="UPST"/>
    <s v="UPST"/>
    <s v="Upstart Holdings, Inc."/>
    <x v="6"/>
    <n v="6199"/>
    <s v="FINANCE SERVICES"/>
    <d v="2020-12-16T00:00:00"/>
    <d v="2021-07-02T00:00:00"/>
    <b v="1"/>
    <n v="401.48989999999998"/>
    <d v="2021-10-15T00:00:00"/>
    <n v="11.93"/>
    <d v="2023-05-03T00:00:00"/>
    <n v="35.74"/>
    <d v="2026-07-01T00:00:00"/>
    <n v="1254"/>
    <s v="ok"/>
    <x v="1"/>
    <n v="32.653805532271583"/>
  </r>
  <r>
    <s v="S"/>
    <s v="S"/>
    <s v="SentinelOne, Inc."/>
    <x v="2"/>
    <n v="7372"/>
    <s v="SERVICES-PREPACKAGED SOFTWARE"/>
    <d v="2021-06-30T00:00:00"/>
    <d v="2021-07-02T00:00:00"/>
    <b v="1"/>
    <n v="78.53"/>
    <d v="2021-11-12T00:00:00"/>
    <n v="11.81"/>
    <d v="2026-04-10T00:00:00"/>
    <n v="17.59"/>
    <d v="2026-07-01T00:00:00"/>
    <n v="1254"/>
    <s v="ok"/>
    <x v="1"/>
    <n v="5.6494496189669769"/>
  </r>
  <r>
    <s v="BEPC"/>
    <s v="BEPC"/>
    <s v="Brookfield Renewable Corp."/>
    <x v="5"/>
    <m/>
    <m/>
    <d v="2020-07-24T00:00:00"/>
    <d v="2021-07-02T00:00:00"/>
    <b v="1"/>
    <n v="45.429000000000002"/>
    <d v="2021-09-02T00:00:00"/>
    <n v="21.35"/>
    <d v="2024-04-16T00:00:00"/>
    <n v="36.75"/>
    <d v="2026-07-01T00:00:00"/>
    <n v="1254"/>
    <s v="ok"/>
    <x v="1"/>
    <n v="1.1278220140515223"/>
  </r>
  <r>
    <s v="GXO"/>
    <s v="GXO"/>
    <s v="GXO Logistics, Inc."/>
    <x v="3"/>
    <n v="4700"/>
    <s v="TRANSPORTATION SERVICES"/>
    <d v="2021-07-22T00:00:00"/>
    <d v="2021-08-02T00:00:00"/>
    <b v="1"/>
    <n v="105.92"/>
    <d v="2021-11-18T00:00:00"/>
    <n v="30.46"/>
    <d v="2025-04-09T00:00:00"/>
    <n v="51.28"/>
    <d v="2026-07-01T00:00:00"/>
    <n v="1234"/>
    <s v="ok"/>
    <x v="1"/>
    <n v="2.4773473407747866"/>
  </r>
  <r>
    <s v="ACT"/>
    <s v="ACT"/>
    <s v="Enact Holdings, Inc."/>
    <x v="6"/>
    <n v="6411"/>
    <s v="INSURANCE AGENTS, BROKERS &amp; SERVICE"/>
    <d v="2021-09-16T00:00:00"/>
    <d v="2021-09-16T00:00:00"/>
    <b v="0"/>
    <n v="46"/>
    <d v="2026-06-30T00:00:00"/>
    <n v="18.760000000000002"/>
    <d v="2021-12-17T00:00:00"/>
    <n v="45.39"/>
    <d v="2026-07-01T00:00:00"/>
    <n v="1202"/>
    <s v="ok"/>
    <x v="0"/>
    <n v="1.4520255863539444"/>
  </r>
  <r>
    <s v="AMTM"/>
    <s v="AMTM"/>
    <s v="Amentum Holdings, Inc."/>
    <x v="3"/>
    <n v="7389"/>
    <s v="SERVICES-BUSINESS SERVICES, NEC"/>
    <d v="2024-09-24T00:00:00"/>
    <d v="2024-09-30T00:00:00"/>
    <b v="1"/>
    <n v="38.11"/>
    <d v="2026-02-06T00:00:00"/>
    <n v="16.010000000000002"/>
    <d v="2025-04-09T00:00:00"/>
    <n v="20.2"/>
    <d v="2026-07-01T00:00:00"/>
    <n v="439"/>
    <s v="ok"/>
    <x v="0"/>
    <n v="1.3803872579637724"/>
  </r>
  <r>
    <s v="CHRD"/>
    <s v="CHRD"/>
    <s v="Chord Energy Corp."/>
    <x v="1"/>
    <n v="1311"/>
    <s v="CRUDE PETROLEUM &amp; NATURAL GAS"/>
    <d v="2020-11-20T00:00:00"/>
    <d v="2022-07-05T00:00:00"/>
    <b v="1"/>
    <n v="190.23"/>
    <d v="2024-04-12T00:00:00"/>
    <n v="79.83"/>
    <d v="2025-04-09T00:00:00"/>
    <n v="111.63"/>
    <d v="2026-07-01T00:00:00"/>
    <n v="1002"/>
    <s v="ok"/>
    <x v="1"/>
    <n v="1.3829387448327695"/>
  </r>
  <r>
    <s v="VNT"/>
    <s v="VNT"/>
    <s v="Vontier Corp."/>
    <x v="3"/>
    <n v="3824"/>
    <s v="TOTALIZING FLUID METERS &amp; COUNTING DEVICES"/>
    <d v="2020-09-24T00:00:00"/>
    <d v="2021-07-02T00:00:00"/>
    <b v="1"/>
    <n v="48.2"/>
    <d v="2026-02-12T00:00:00"/>
    <n v="16.55"/>
    <d v="2022-09-29T00:00:00"/>
    <n v="28.58"/>
    <d v="2026-07-01T00:00:00"/>
    <n v="1254"/>
    <s v="ok"/>
    <x v="0"/>
    <n v="1.9123867069486404"/>
  </r>
  <r>
    <s v="AHR"/>
    <s v="AHR"/>
    <s v="American Healthcare REIT, Inc."/>
    <x v="6"/>
    <n v="6798"/>
    <s v="REAL ESTATE INVESTMENT TRUSTS"/>
    <d v="2024-02-07T00:00:00"/>
    <d v="2024-02-07T00:00:00"/>
    <b v="0"/>
    <n v="54.67"/>
    <d v="2026-02-27T00:00:00"/>
    <n v="12.63"/>
    <d v="2024-02-07T00:00:00"/>
    <n v="53.65"/>
    <d v="2026-07-01T00:00:00"/>
    <n v="601"/>
    <s v="ok"/>
    <x v="0"/>
    <n v="3.328582739509105"/>
  </r>
  <r>
    <s v="CWAN^26"/>
    <s v="CWAN"/>
    <s v="Clearwater Analytics Holdings, Inc."/>
    <x v="6"/>
    <n v="7372"/>
    <s v="SERVICES-PREPACKAGED SOFTWARE"/>
    <d v="2021-09-24T00:00:00"/>
    <d v="2021-09-24T00:00:00"/>
    <b v="0"/>
    <n v="35.71"/>
    <d v="2024-11-07T00:00:00"/>
    <n v="11.23"/>
    <d v="2022-07-13T00:00:00"/>
    <n v="24.56"/>
    <d v="2026-06-24T00:00:00"/>
    <n v="1191"/>
    <s v="ok"/>
    <x v="0"/>
    <n v="2.1798753339269812"/>
  </r>
  <r>
    <s v="SEZL"/>
    <s v="SEZL"/>
    <s v="Sezzle, Inc."/>
    <x v="2"/>
    <n v="7389"/>
    <s v="SERVICES-BUSINESS SERVICES, NEC"/>
    <d v="2020-05-05T00:00:00"/>
    <d v="2023-08-17T00:00:00"/>
    <b v="1"/>
    <n v="186.74"/>
    <d v="2025-07-08T00:00:00"/>
    <n v="1.1917"/>
    <d v="2023-10-26T00:00:00"/>
    <n v="175.18"/>
    <d v="2026-07-01T00:00:00"/>
    <n v="702"/>
    <s v="ok"/>
    <x v="0"/>
    <n v="155.70051187379374"/>
  </r>
  <r>
    <s v="SGHC"/>
    <s v="SGHC"/>
    <s v="Super Group (SGHC) Ltd."/>
    <x v="4"/>
    <m/>
    <m/>
    <d v="2022-01-28T00:00:00"/>
    <d v="2022-01-28T00:00:00"/>
    <b v="0"/>
    <n v="14.38"/>
    <d v="2025-10-06T00:00:00"/>
    <n v="2.57"/>
    <d v="2022-12-27T00:00:00"/>
    <n v="13.97"/>
    <d v="2026-07-01T00:00:00"/>
    <n v="1109"/>
    <s v="ok"/>
    <x v="0"/>
    <n v="4.5953307392996114"/>
  </r>
  <r>
    <s v="NUVL"/>
    <s v="NUVL"/>
    <s v="Nuvalent, Inc."/>
    <x v="8"/>
    <n v="2834"/>
    <s v="PHARMACEUTICAL PREPARATIONS"/>
    <d v="2021-07-29T00:00:00"/>
    <d v="2021-07-29T00:00:00"/>
    <b v="0"/>
    <n v="123.69"/>
    <d v="2026-06-24T00:00:00"/>
    <n v="7.09"/>
    <d v="2022-05-19T00:00:00"/>
    <n v="123.6"/>
    <d v="2026-07-01T00:00:00"/>
    <n v="1236"/>
    <s v="ok"/>
    <x v="0"/>
    <n v="16.445698166431594"/>
  </r>
  <r>
    <s v="GLBE"/>
    <s v="GLBE"/>
    <s v="Global-e Online Ltd."/>
    <x v="9"/>
    <m/>
    <m/>
    <d v="2021-05-12T00:00:00"/>
    <d v="2021-07-02T00:00:00"/>
    <b v="1"/>
    <n v="83.77"/>
    <d v="2021-08-31T00:00:00"/>
    <n v="15.63"/>
    <d v="2022-05-17T00:00:00"/>
    <n v="35.83"/>
    <d v="2026-07-01T00:00:00"/>
    <n v="1254"/>
    <s v="ok"/>
    <x v="1"/>
    <n v="4.3595649392194495"/>
  </r>
  <r>
    <s v="SOBO"/>
    <s v="SOBO"/>
    <s v="South Bow Corp."/>
    <x v="1"/>
    <m/>
    <m/>
    <d v="2024-10-08T00:00:00"/>
    <d v="2024-10-08T00:00:00"/>
    <b v="0"/>
    <n v="38.450000000000003"/>
    <d v="2026-06-12T00:00:00"/>
    <n v="21.16"/>
    <d v="2025-04-09T00:00:00"/>
    <n v="34.450000000000003"/>
    <d v="2026-07-01T00:00:00"/>
    <n v="433"/>
    <s v="ok"/>
    <x v="0"/>
    <n v="0.81710775047258988"/>
  </r>
  <r>
    <s v="MNSO"/>
    <s v="MNSO"/>
    <s v="MINISO Group Holding Ltd."/>
    <x v="7"/>
    <m/>
    <m/>
    <d v="2020-10-15T00:00:00"/>
    <d v="2021-07-02T00:00:00"/>
    <b v="1"/>
    <n v="29.92"/>
    <d v="2023-09-15T00:00:00"/>
    <n v="4.45"/>
    <d v="2022-09-28T00:00:00"/>
    <n v="12.18"/>
    <d v="2026-07-01T00:00:00"/>
    <n v="1254"/>
    <s v="ok"/>
    <x v="0"/>
    <n v="5.7235955056179781"/>
  </r>
  <r>
    <s v="MP"/>
    <s v="MP"/>
    <s v="MP Materials Corp."/>
    <x v="10"/>
    <n v="1000"/>
    <s v="METAL MINING"/>
    <d v="2020-11-18T00:00:00"/>
    <d v="2021-07-02T00:00:00"/>
    <b v="1"/>
    <n v="100.2505"/>
    <d v="2025-10-14T00:00:00"/>
    <n v="10.02"/>
    <d v="2024-08-05T00:00:00"/>
    <n v="54.28"/>
    <d v="2026-07-01T00:00:00"/>
    <n v="1254"/>
    <s v="ok"/>
    <x v="0"/>
    <n v="9.0050399201596818"/>
  </r>
  <r>
    <s v="VERX"/>
    <s v="VERX"/>
    <s v="Vertex, Inc."/>
    <x v="2"/>
    <n v="7372"/>
    <s v="SERVICES-PREPACKAGED SOFTWARE"/>
    <d v="2020-07-29T00:00:00"/>
    <d v="2021-07-02T00:00:00"/>
    <b v="1"/>
    <n v="60.71"/>
    <d v="2025-02-06T00:00:00"/>
    <n v="9.44"/>
    <d v="2022-06-14T00:00:00"/>
    <n v="12.52"/>
    <d v="2026-07-01T00:00:00"/>
    <n v="1254"/>
    <s v="ok"/>
    <x v="0"/>
    <n v="5.4311440677966107"/>
  </r>
  <r>
    <s v="LB"/>
    <s v="LB"/>
    <s v="LandBridge Co. LLC"/>
    <x v="6"/>
    <n v="6792"/>
    <s v="OIL ROYALTY TRADERS"/>
    <d v="2024-06-28T00:00:00"/>
    <d v="2024-06-28T00:00:00"/>
    <b v="0"/>
    <n v="87.596800000000002"/>
    <d v="2025-05-20T00:00:00"/>
    <n v="18.75"/>
    <d v="2024-06-28T00:00:00"/>
    <n v="72.3"/>
    <d v="2026-07-01T00:00:00"/>
    <n v="503"/>
    <s v="ok"/>
    <x v="0"/>
    <n v="3.6718293333333336"/>
  </r>
  <r>
    <s v="OSCR"/>
    <s v="OSCR"/>
    <s v="Oscar Health, Inc."/>
    <x v="8"/>
    <n v="6324"/>
    <s v="HOSPITAL &amp; MEDICAL SERVICE PLANS"/>
    <d v="2021-03-03T00:00:00"/>
    <d v="2021-07-02T00:00:00"/>
    <b v="1"/>
    <n v="32.06"/>
    <d v="2026-07-01T00:00:00"/>
    <n v="2.0499999999999998"/>
    <d v="2022-12-22T00:00:00"/>
    <n v="31.9"/>
    <d v="2026-07-01T00:00:00"/>
    <n v="1254"/>
    <s v="ok"/>
    <x v="0"/>
    <n v="14.639024390243904"/>
  </r>
  <r>
    <s v="MIR"/>
    <s v="MIR"/>
    <s v="Mirion Technologies, Inc."/>
    <x v="2"/>
    <n v="3829"/>
    <s v="MEASURING &amp; CONTROLLING DEVICES, NEC"/>
    <d v="2020-08-20T00:00:00"/>
    <d v="2021-10-21T00:00:00"/>
    <b v="1"/>
    <n v="30.277000000000001"/>
    <d v="2025-10-30T00:00:00"/>
    <n v="5.4"/>
    <d v="2022-07-14T00:00:00"/>
    <n v="17.91"/>
    <d v="2026-07-01T00:00:00"/>
    <n v="1177"/>
    <s v="ok"/>
    <x v="0"/>
    <n v="4.606851851851852"/>
  </r>
  <r>
    <s v="BULL"/>
    <s v="BULL"/>
    <s v="Webull Corp."/>
    <x v="6"/>
    <m/>
    <m/>
    <d v="2025-04-11T00:00:00"/>
    <d v="2025-04-11T00:00:00"/>
    <b v="0"/>
    <n v="79.56"/>
    <d v="2025-04-14T00:00:00"/>
    <n v="4.5"/>
    <d v="2026-04-02T00:00:00"/>
    <n v="7.18"/>
    <d v="2026-07-01T00:00:00"/>
    <n v="306"/>
    <s v="ok"/>
    <x v="1"/>
    <n v="16.68"/>
  </r>
  <r>
    <s v="FROG"/>
    <s v="FROG"/>
    <s v="JFrog Ltd."/>
    <x v="2"/>
    <n v="7372"/>
    <s v="SERVICES-PREPACKAGED SOFTWARE"/>
    <d v="2020-09-16T00:00:00"/>
    <d v="2021-07-02T00:00:00"/>
    <b v="1"/>
    <n v="93.12"/>
    <d v="2026-06-30T00:00:00"/>
    <n v="16.356000000000002"/>
    <d v="2022-05-12T00:00:00"/>
    <n v="90.39"/>
    <d v="2026-07-01T00:00:00"/>
    <n v="1254"/>
    <s v="ok"/>
    <x v="0"/>
    <n v="4.6933235509904625"/>
  </r>
  <r>
    <s v="CORZ"/>
    <s v="CORZ"/>
    <s v="Core Scientific, Inc."/>
    <x v="6"/>
    <n v="6199"/>
    <s v="FINANCE SERVICES"/>
    <d v="2024-01-24T00:00:00"/>
    <d v="2024-01-24T00:00:00"/>
    <b v="0"/>
    <n v="30.46"/>
    <d v="2026-06-02T00:00:00"/>
    <n v="2.61"/>
    <d v="2024-02-01T00:00:00"/>
    <n v="23.71"/>
    <d v="2026-07-01T00:00:00"/>
    <n v="611"/>
    <s v="ok"/>
    <x v="0"/>
    <n v="10.670498084291189"/>
  </r>
  <r>
    <s v="INGM"/>
    <s v="INGM"/>
    <s v="Ingram Micro Holding Corp."/>
    <x v="2"/>
    <n v="5045"/>
    <s v="WHOLESALE-COMPUTERS &amp; PERIPHERAL EQUIPMENT &amp; SOFTWARE"/>
    <d v="2024-10-24T00:00:00"/>
    <d v="2024-10-24T00:00:00"/>
    <b v="0"/>
    <n v="31.69"/>
    <d v="2026-06-02T00:00:00"/>
    <n v="14.25"/>
    <d v="2025-04-08T00:00:00"/>
    <n v="27.18"/>
    <d v="2026-07-01T00:00:00"/>
    <n v="421"/>
    <s v="ok"/>
    <x v="0"/>
    <n v="1.2238596491228071"/>
  </r>
  <r>
    <s v="DJT"/>
    <s v="DJT"/>
    <s v="Trump Media &amp; Technology Group Corp."/>
    <x v="2"/>
    <n v="7370"/>
    <s v="SERVICES-COMPUTER PROGRAMMING, DATA PROCESSING, ETC."/>
    <d v="2024-03-26T00:00:00"/>
    <d v="2024-03-26T00:00:00"/>
    <b v="0"/>
    <n v="79.38"/>
    <d v="2024-03-26T00:00:00"/>
    <n v="6.96"/>
    <d v="2026-06-26T00:00:00"/>
    <n v="8.02"/>
    <d v="2026-07-01T00:00:00"/>
    <n v="568"/>
    <s v="ok"/>
    <x v="1"/>
    <n v="10.405172413793103"/>
  </r>
  <r>
    <s v="PONY"/>
    <s v="PONY"/>
    <s v="Pony.ai, Inc."/>
    <x v="9"/>
    <m/>
    <m/>
    <d v="2024-11-27T00:00:00"/>
    <d v="2024-11-27T00:00:00"/>
    <b v="0"/>
    <n v="24.92"/>
    <d v="2025-10-02T00:00:00"/>
    <n v="4.1100000000000003"/>
    <d v="2025-04-22T00:00:00"/>
    <n v="7.29"/>
    <d v="2026-07-01T00:00:00"/>
    <n v="397"/>
    <s v="ok"/>
    <x v="0"/>
    <n v="5.0632603406326036"/>
  </r>
  <r>
    <s v="LIF"/>
    <s v="LIF"/>
    <s v="Life360, Inc."/>
    <x v="2"/>
    <n v="7374"/>
    <s v="SERVICES-COMPUTER PROCESSING &amp; DATA PREPARATION"/>
    <d v="2024-06-06T00:00:00"/>
    <d v="2024-06-06T00:00:00"/>
    <b v="0"/>
    <n v="112.5395"/>
    <d v="2025-10-06T00:00:00"/>
    <n v="26"/>
    <d v="2024-06-06T00:00:00"/>
    <n v="57.325000000000003"/>
    <d v="2026-07-01T00:00:00"/>
    <n v="518"/>
    <s v="ok"/>
    <x v="0"/>
    <n v="3.328442307692308"/>
  </r>
  <r>
    <s v="PECO"/>
    <s v="PECO"/>
    <s v="Phillips Edison &amp; Co., Inc."/>
    <x v="6"/>
    <n v="6798"/>
    <s v="REAL ESTATE INVESTMENT TRUSTS"/>
    <d v="2016-01-22T00:00:00"/>
    <d v="2021-07-15T00:00:00"/>
    <b v="1"/>
    <n v="42.7"/>
    <d v="2026-06-26T00:00:00"/>
    <n v="26.51"/>
    <d v="2021-07-19T00:00:00"/>
    <n v="41.56"/>
    <d v="2026-07-01T00:00:00"/>
    <n v="1246"/>
    <s v="ok"/>
    <x v="0"/>
    <n v="0.6107129385137684"/>
  </r>
  <r>
    <s v="KNF"/>
    <s v="KNF"/>
    <s v="Knife River Corp."/>
    <x v="10"/>
    <n v="1400"/>
    <s v="MINING &amp; QUARRYING OF NONMETALLIC MINERALS (NO FUELS)"/>
    <d v="2023-05-25T00:00:00"/>
    <d v="2023-06-01T00:00:00"/>
    <b v="1"/>
    <n v="108.83"/>
    <d v="2025-01-22T00:00:00"/>
    <n v="33.671199999999999"/>
    <d v="2023-06-01T00:00:00"/>
    <n v="82.87"/>
    <d v="2026-07-01T00:00:00"/>
    <n v="773"/>
    <s v="ok"/>
    <x v="0"/>
    <n v="2.2321390387036995"/>
  </r>
  <r>
    <s v="TFPM"/>
    <s v="TFPM"/>
    <s v="Triple Flag Precious Metals Corp."/>
    <x v="10"/>
    <m/>
    <m/>
    <d v="2021-09-23T00:00:00"/>
    <d v="2022-08-30T00:00:00"/>
    <b v="1"/>
    <n v="41.7"/>
    <d v="2026-03-02T00:00:00"/>
    <n v="10.7"/>
    <d v="2022-11-10T00:00:00"/>
    <n v="30.18"/>
    <d v="2026-07-01T00:00:00"/>
    <n v="962"/>
    <s v="ok"/>
    <x v="0"/>
    <n v="2.8971962616822435"/>
  </r>
  <r>
    <s v="ATAT"/>
    <s v="ATAT"/>
    <s v="Atour Lifestyle Holdings Ltd."/>
    <x v="4"/>
    <m/>
    <m/>
    <d v="2022-11-11T00:00:00"/>
    <d v="2022-11-11T00:00:00"/>
    <b v="0"/>
    <n v="43.172499999999999"/>
    <d v="2025-12-04T00:00:00"/>
    <n v="11.0166"/>
    <d v="2022-11-16T00:00:00"/>
    <n v="32.869999999999997"/>
    <d v="2026-07-01T00:00:00"/>
    <n v="910"/>
    <s v="ok"/>
    <x v="0"/>
    <n v="2.9188588130639217"/>
  </r>
  <r>
    <s v="BLCO"/>
    <s v="BLCO"/>
    <s v="Bausch + Lomb Corp."/>
    <x v="8"/>
    <n v="3851"/>
    <s v="OPHTHALMIC GOODS"/>
    <d v="2022-05-06T00:00:00"/>
    <d v="2022-05-06T00:00:00"/>
    <b v="0"/>
    <n v="21.95"/>
    <d v="2023-06-30T00:00:00"/>
    <n v="10.45"/>
    <d v="2025-04-30T00:00:00"/>
    <n v="16.55"/>
    <d v="2026-07-01T00:00:00"/>
    <n v="1041"/>
    <s v="ok"/>
    <x v="1"/>
    <n v="1.1004784688995215"/>
  </r>
  <r>
    <s v="QBTS"/>
    <s v="QBTS"/>
    <s v="D-Wave Quantum, Inc."/>
    <x v="2"/>
    <n v="7374"/>
    <s v="SERVICES-COMPUTER PROCESSING &amp; DATA PREPARATION"/>
    <d v="2022-08-08T00:00:00"/>
    <d v="2022-08-08T00:00:00"/>
    <b v="0"/>
    <n v="46.75"/>
    <d v="2025-10-15T00:00:00"/>
    <n v="0.3962"/>
    <d v="2023-05-08T00:00:00"/>
    <n v="23.5"/>
    <d v="2026-07-01T00:00:00"/>
    <n v="978"/>
    <s v="ok"/>
    <x v="0"/>
    <n v="116.99596163553761"/>
  </r>
  <r>
    <s v="GRND"/>
    <s v="GRND"/>
    <s v="Grindr, Inc."/>
    <x v="2"/>
    <n v="7370"/>
    <s v="SERVICES-COMPUTER PROGRAMMING, DATA PROCESSING, ETC."/>
    <d v="2022-11-18T00:00:00"/>
    <d v="2022-11-18T00:00:00"/>
    <b v="0"/>
    <n v="71.510000000000005"/>
    <d v="2022-11-18T00:00:00"/>
    <n v="4.49"/>
    <d v="2023-08-14T00:00:00"/>
    <n v="15.69"/>
    <d v="2026-07-01T00:00:00"/>
    <n v="905"/>
    <s v="ok"/>
    <x v="1"/>
    <n v="14.92650334075724"/>
  </r>
  <r>
    <s v="FG"/>
    <s v="FG"/>
    <s v="F&amp;G Annuities &amp; Life, Inc."/>
    <x v="6"/>
    <n v="6311"/>
    <s v="LIFE INSURANCE"/>
    <d v="2022-11-21T00:00:00"/>
    <d v="2022-12-01T00:00:00"/>
    <b v="1"/>
    <n v="50.75"/>
    <d v="2024-11-25T00:00:00"/>
    <n v="14.76"/>
    <d v="2023-05-04T00:00:00"/>
    <n v="27.27"/>
    <d v="2026-07-01T00:00:00"/>
    <n v="897"/>
    <s v="ok"/>
    <x v="0"/>
    <n v="2.4383468834688347"/>
  </r>
  <r>
    <s v="FRSH"/>
    <s v="FRSH"/>
    <s v="Freshworks, Inc."/>
    <x v="2"/>
    <n v="7372"/>
    <s v="SERVICES-PREPACKAGED SOFTWARE"/>
    <d v="2021-09-22T00:00:00"/>
    <d v="2021-09-22T00:00:00"/>
    <b v="0"/>
    <n v="53.355899999999998"/>
    <d v="2021-11-02T00:00:00"/>
    <n v="6.79"/>
    <d v="2026-02-12T00:00:00"/>
    <n v="10.41"/>
    <d v="2026-07-01T00:00:00"/>
    <n v="1198"/>
    <s v="ok"/>
    <x v="1"/>
    <n v="6.8580117820324"/>
  </r>
  <r>
    <s v="ODD"/>
    <s v="ODD"/>
    <s v="ODDITY Tech Ltd."/>
    <x v="7"/>
    <m/>
    <m/>
    <d v="2023-07-19T00:00:00"/>
    <d v="2023-07-19T00:00:00"/>
    <b v="0"/>
    <n v="79.180400000000006"/>
    <d v="2025-06-03T00:00:00"/>
    <n v="9.2500999999999998"/>
    <d v="2026-06-03T00:00:00"/>
    <n v="17.010000000000002"/>
    <d v="2026-07-01T00:00:00"/>
    <n v="741"/>
    <s v="ok"/>
    <x v="1"/>
    <n v="7.559950703235641"/>
  </r>
  <r>
    <s v="NE"/>
    <s v="NE"/>
    <s v="Noble Corp. Plc"/>
    <x v="1"/>
    <n v="1381"/>
    <s v="DRILLING OIL &amp; GAS WELLS"/>
    <d v="2022-09-30T00:00:00"/>
    <d v="2022-09-30T00:00:00"/>
    <b v="0"/>
    <n v="55.34"/>
    <d v="2023-09-05T00:00:00"/>
    <n v="17.399999999999999"/>
    <d v="2025-04-07T00:00:00"/>
    <n v="37.08"/>
    <d v="2026-07-01T00:00:00"/>
    <n v="940"/>
    <s v="ok"/>
    <x v="1"/>
    <n v="2.1804597701149429"/>
  </r>
  <r>
    <s v="INTA"/>
    <s v="INTA"/>
    <s v="Intapp, Inc."/>
    <x v="6"/>
    <n v="7372"/>
    <s v="SERVICES-PREPACKAGED SOFTWARE"/>
    <d v="2021-06-30T00:00:00"/>
    <d v="2021-07-02T00:00:00"/>
    <b v="1"/>
    <n v="77.739999999999995"/>
    <d v="2025-02-14T00:00:00"/>
    <n v="13.52"/>
    <d v="2022-06-17T00:00:00"/>
    <n v="26.35"/>
    <d v="2026-07-01T00:00:00"/>
    <n v="1254"/>
    <s v="ok"/>
    <x v="0"/>
    <n v="4.75"/>
  </r>
  <r>
    <s v="BTSG"/>
    <s v="BTSG"/>
    <s v="BrightSpring Health Services, Inc."/>
    <x v="8"/>
    <n v="8082"/>
    <s v="SERVICES-HOME HEALTH CARE SERVICES"/>
    <d v="2024-01-26T00:00:00"/>
    <d v="2024-01-26T00:00:00"/>
    <b v="0"/>
    <n v="70.72"/>
    <d v="2026-06-26T00:00:00"/>
    <n v="7.85"/>
    <d v="2024-03-15T00:00:00"/>
    <n v="69.849999999999994"/>
    <d v="2026-07-01T00:00:00"/>
    <n v="609"/>
    <s v="ok"/>
    <x v="0"/>
    <n v="8.0089171974522291"/>
  </r>
  <r>
    <s v="CRC"/>
    <s v="CRC"/>
    <s v="California Resources Corp."/>
    <x v="1"/>
    <n v="1311"/>
    <s v="CRUDE PETROLEUM &amp; NATURAL GAS"/>
    <d v="2020-10-28T00:00:00"/>
    <d v="2021-07-02T00:00:00"/>
    <b v="1"/>
    <n v="71.98"/>
    <d v="2026-03-31T00:00:00"/>
    <n v="24.880099999999999"/>
    <d v="2021-07-20T00:00:00"/>
    <n v="51.75"/>
    <d v="2026-07-01T00:00:00"/>
    <n v="1254"/>
    <s v="ok"/>
    <x v="0"/>
    <n v="1.8930751886045478"/>
  </r>
  <r>
    <s v="PAY"/>
    <s v="PAY"/>
    <s v="Paymentus Holdings, Inc."/>
    <x v="6"/>
    <n v="7389"/>
    <s v="SERVICES-BUSINESS SERVICES, NEC"/>
    <d v="2021-05-26T00:00:00"/>
    <d v="2021-07-02T00:00:00"/>
    <b v="1"/>
    <n v="40.432600000000001"/>
    <d v="2025-05-16T00:00:00"/>
    <n v="6.75"/>
    <d v="2022-12-27T00:00:00"/>
    <n v="25.41"/>
    <d v="2026-07-01T00:00:00"/>
    <n v="1254"/>
    <s v="ok"/>
    <x v="0"/>
    <n v="4.9900148148148151"/>
  </r>
  <r>
    <s v="DNB^25"/>
    <s v="DNB"/>
    <s v="Dun &amp; Bradstreet Holdings, Inc."/>
    <x v="2"/>
    <n v="7320"/>
    <s v="SERVICES-CONSUMER CREDIT REPORTING, COLLECTION AGENCIES"/>
    <d v="2020-07-01T00:00:00"/>
    <d v="2021-07-02T00:00:00"/>
    <b v="1"/>
    <n v="21.91"/>
    <d v="2021-07-02T00:00:00"/>
    <n v="7.78"/>
    <d v="2025-03-13T00:00:00"/>
    <n v="9.15"/>
    <d v="2025-08-25T00:00:00"/>
    <n v="1041"/>
    <s v="ok"/>
    <x v="1"/>
    <n v="1.8161953727506426"/>
  </r>
  <r>
    <s v="RUM"/>
    <s v="RUM"/>
    <s v="RUM Group, Inc."/>
    <x v="2"/>
    <n v="7370"/>
    <s v="SERVICES-COMPUTER PROGRAMMING, DATA PROCESSING, ETC."/>
    <d v="2022-09-19T00:00:00"/>
    <d v="2022-09-19T00:00:00"/>
    <b v="0"/>
    <n v="17.399999999999999"/>
    <d v="2024-12-27T00:00:00"/>
    <n v="3.33"/>
    <d v="2024-01-12T00:00:00"/>
    <n v="6.28"/>
    <d v="2026-07-01T00:00:00"/>
    <n v="949"/>
    <s v="ok"/>
    <x v="0"/>
    <n v="4.2252252252252243"/>
  </r>
  <r>
    <s v="AVPT"/>
    <s v="AVPT"/>
    <s v="AvePoint, Inc."/>
    <x v="2"/>
    <n v="7372"/>
    <s v="SERVICES-PREPACKAGED SOFTWARE"/>
    <d v="2021-07-02T00:00:00"/>
    <d v="2021-07-02T00:00:00"/>
    <b v="0"/>
    <n v="20.245000000000001"/>
    <d v="2025-05-13T00:00:00"/>
    <n v="3.4"/>
    <d v="2022-10-13T00:00:00"/>
    <n v="11.44"/>
    <d v="2026-07-01T00:00:00"/>
    <n v="1254"/>
    <s v="ok"/>
    <x v="0"/>
    <n v="4.954411764705883"/>
  </r>
  <r>
    <s v="SOUN"/>
    <s v="SOUN"/>
    <s v="SoundHound AI, Inc."/>
    <x v="2"/>
    <n v="7372"/>
    <s v="SERVICES-PREPACKAGED SOFTWARE"/>
    <d v="2022-04-28T00:00:00"/>
    <d v="2022-04-28T00:00:00"/>
    <b v="0"/>
    <n v="24.98"/>
    <d v="2024-12-26T00:00:00"/>
    <n v="0.93"/>
    <d v="2022-12-22T00:00:00"/>
    <n v="6.68"/>
    <d v="2026-07-01T00:00:00"/>
    <n v="1047"/>
    <s v="ok"/>
    <x v="0"/>
    <n v="25.86021505376344"/>
  </r>
  <r>
    <s v="CLBT"/>
    <s v="CLBT"/>
    <s v="Cellebrite DI Ltd."/>
    <x v="0"/>
    <m/>
    <m/>
    <d v="2021-08-31T00:00:00"/>
    <d v="2021-08-31T00:00:00"/>
    <b v="0"/>
    <n v="26.3"/>
    <d v="2025-02-06T00:00:00"/>
    <n v="3.8"/>
    <d v="2022-10-03T00:00:00"/>
    <n v="15.45"/>
    <d v="2026-07-01T00:00:00"/>
    <n v="1213"/>
    <s v="ok"/>
    <x v="0"/>
    <n v="5.9210526315789478"/>
  </r>
  <r>
    <s v="RELY"/>
    <s v="RELY"/>
    <s v="Remitly Global, Inc."/>
    <x v="6"/>
    <n v="7389"/>
    <s v="SERVICES-BUSINESS SERVICES, NEC"/>
    <d v="2021-09-23T00:00:00"/>
    <d v="2021-09-23T00:00:00"/>
    <b v="0"/>
    <n v="53.65"/>
    <d v="2021-09-23T00:00:00"/>
    <n v="6.66"/>
    <d v="2022-05-12T00:00:00"/>
    <n v="22.95"/>
    <d v="2026-07-01T00:00:00"/>
    <n v="1197"/>
    <s v="ok"/>
    <x v="1"/>
    <n v="7.0555555555555545"/>
  </r>
  <r>
    <s v="YOU"/>
    <s v="YOU"/>
    <s v="Clear Secure, Inc."/>
    <x v="2"/>
    <n v="7372"/>
    <s v="SERVICES-PREPACKAGED SOFTWARE"/>
    <d v="2021-06-30T00:00:00"/>
    <d v="2021-07-02T00:00:00"/>
    <b v="1"/>
    <n v="65.7"/>
    <d v="2021-08-09T00:00:00"/>
    <n v="15.280099999999999"/>
    <d v="2023-10-06T00:00:00"/>
    <n v="55.66"/>
    <d v="2026-07-01T00:00:00"/>
    <n v="1254"/>
    <s v="ok"/>
    <x v="1"/>
    <n v="3.2997100804314115"/>
  </r>
  <r>
    <s v="QS"/>
    <s v="QS"/>
    <s v="QuantumScape Corp."/>
    <x v="3"/>
    <n v="3690"/>
    <s v="MISCELLANEOUS ELECTRICAL MACHINERY, EQUIPMENT &amp; SUPPLIES"/>
    <d v="2020-11-27T00:00:00"/>
    <d v="2021-07-02T00:00:00"/>
    <b v="1"/>
    <n v="43.08"/>
    <d v="2021-11-15T00:00:00"/>
    <n v="3.4"/>
    <d v="2025-04-08T00:00:00"/>
    <n v="7.61"/>
    <d v="2026-07-01T00:00:00"/>
    <n v="1254"/>
    <s v="ok"/>
    <x v="1"/>
    <n v="11.670588235294117"/>
  </r>
  <r>
    <s v="GPOR"/>
    <s v="GPOR"/>
    <s v="Gulfport Energy Corp."/>
    <x v="1"/>
    <n v="1311"/>
    <s v="CRUDE PETROLEUM &amp; NATURAL GAS"/>
    <d v="2021-05-18T00:00:00"/>
    <d v="2021-07-02T00:00:00"/>
    <b v="1"/>
    <n v="225.78"/>
    <d v="2025-12-01T00:00:00"/>
    <n v="60.15"/>
    <d v="2023-02-08T00:00:00"/>
    <n v="165.41"/>
    <d v="2026-07-01T00:00:00"/>
    <n v="1254"/>
    <s v="ok"/>
    <x v="0"/>
    <n v="2.7536159600997507"/>
  </r>
  <r>
    <s v="ACLX^26"/>
    <s v="ACLX"/>
    <s v="Arcellx, Inc."/>
    <x v="8"/>
    <n v="2836"/>
    <s v="BIOLOGICAL PRODUCTS, (NO DIAGNOSTIC SUBSTANCES)"/>
    <d v="2022-02-04T00:00:00"/>
    <d v="2022-02-04T00:00:00"/>
    <b v="0"/>
    <n v="115.13"/>
    <d v="2026-04-16T00:00:00"/>
    <n v="6.0350000000000001"/>
    <d v="2022-05-17T00:00:00"/>
    <n v="115.07"/>
    <d v="2026-04-27T00:00:00"/>
    <n v="1059"/>
    <s v="ok"/>
    <x v="0"/>
    <n v="18.077050538525267"/>
  </r>
  <r>
    <s v="TBBB"/>
    <s v="TBBB"/>
    <s v="BBB Foods, Inc."/>
    <x v="7"/>
    <m/>
    <m/>
    <d v="2024-02-09T00:00:00"/>
    <d v="2024-02-09T00:00:00"/>
    <b v="0"/>
    <n v="43.81"/>
    <d v="2026-06-18T00:00:00"/>
    <n v="18.71"/>
    <d v="2024-02-12T00:00:00"/>
    <n v="41.66"/>
    <d v="2026-07-01T00:00:00"/>
    <n v="599"/>
    <s v="ok"/>
    <x v="0"/>
    <n v="1.3415285943345805"/>
  </r>
  <r>
    <s v="ZGN"/>
    <s v="ZGN"/>
    <s v="Ermenegildo Zegna NV"/>
    <x v="9"/>
    <m/>
    <m/>
    <d v="2021-12-20T00:00:00"/>
    <d v="2021-12-20T00:00:00"/>
    <b v="0"/>
    <n v="16.36"/>
    <d v="2023-08-10T00:00:00"/>
    <n v="6.05"/>
    <d v="2025-04-09T00:00:00"/>
    <n v="12.99"/>
    <d v="2026-07-01T00:00:00"/>
    <n v="1136"/>
    <s v="ok"/>
    <x v="1"/>
    <n v="1.7041322314049585"/>
  </r>
  <r>
    <s v="ZETA"/>
    <s v="ZETA"/>
    <s v="Zeta Global Holdings Corp."/>
    <x v="2"/>
    <n v="7372"/>
    <s v="SERVICES-PREPACKAGED SOFTWARE"/>
    <d v="2021-06-10T00:00:00"/>
    <d v="2021-07-02T00:00:00"/>
    <b v="1"/>
    <n v="38.200000000000003"/>
    <d v="2024-11-11T00:00:00"/>
    <n v="4.09"/>
    <d v="2022-07-05T00:00:00"/>
    <n v="20.84"/>
    <d v="2026-07-01T00:00:00"/>
    <n v="1254"/>
    <s v="ok"/>
    <x v="0"/>
    <n v="8.3398533007334965"/>
  </r>
  <r>
    <s v="IREN"/>
    <s v="IREN"/>
    <s v="IREN Ltd."/>
    <x v="6"/>
    <n v="6199"/>
    <s v="FINANCE SERVICES"/>
    <d v="2021-11-17T00:00:00"/>
    <d v="2021-11-17T00:00:00"/>
    <b v="0"/>
    <n v="76.87"/>
    <d v="2025-11-05T00:00:00"/>
    <n v="1.02"/>
    <d v="2022-12-28T00:00:00"/>
    <n v="43.32"/>
    <d v="2026-07-01T00:00:00"/>
    <n v="1158"/>
    <s v="ok"/>
    <x v="0"/>
    <n v="74.362745098039227"/>
  </r>
  <r>
    <s v="RSI"/>
    <s v="RSI"/>
    <s v="Rush Street Interactive, Inc."/>
    <x v="4"/>
    <n v="7990"/>
    <s v="SERVICES-MISCELLANEOUS AMUSEMENT &amp; RECREATION"/>
    <d v="2020-12-30T00:00:00"/>
    <d v="2021-07-02T00:00:00"/>
    <b v="1"/>
    <n v="31.85"/>
    <d v="2026-06-29T00:00:00"/>
    <n v="2.77"/>
    <d v="2023-04-06T00:00:00"/>
    <n v="31.26"/>
    <d v="2026-07-01T00:00:00"/>
    <n v="1254"/>
    <s v="ok"/>
    <x v="0"/>
    <n v="10.498194945848375"/>
  </r>
  <r>
    <s v="CNXC"/>
    <s v="CNXC"/>
    <s v="Concentrix Corp."/>
    <x v="2"/>
    <n v="7389"/>
    <s v="SERVICES-BUSINESS SERVICES, NEC"/>
    <d v="2020-11-16T00:00:00"/>
    <d v="2021-07-02T00:00:00"/>
    <b v="1"/>
    <n v="208.48"/>
    <d v="2022-02-10T00:00:00"/>
    <n v="19.12"/>
    <d v="2026-06-30T00:00:00"/>
    <n v="24.41"/>
    <d v="2026-07-01T00:00:00"/>
    <n v="1254"/>
    <s v="ok"/>
    <x v="1"/>
    <n v="9.9037656903765683"/>
  </r>
  <r>
    <s v="EE"/>
    <s v="EE"/>
    <s v="Excelerate Energy, Inc."/>
    <x v="1"/>
    <n v="4924"/>
    <s v="NATURAL GAS DISTRIBUTION"/>
    <d v="2022-04-13T00:00:00"/>
    <d v="2022-04-13T00:00:00"/>
    <b v="0"/>
    <n v="43.174999999999997"/>
    <d v="2026-03-03T00:00:00"/>
    <n v="13.38"/>
    <d v="2024-02-14T00:00:00"/>
    <n v="37.979999999999997"/>
    <d v="2026-07-01T00:00:00"/>
    <n v="1057"/>
    <s v="ok"/>
    <x v="0"/>
    <n v="2.2268310911808666"/>
  </r>
  <r>
    <s v="COMP"/>
    <s v="COMP"/>
    <s v="Compass, Inc. (New York)"/>
    <x v="6"/>
    <n v="6531"/>
    <s v="REAL ESTATE AGENTS &amp; MANAGERS (FOR OTHERS)"/>
    <d v="2021-04-01T00:00:00"/>
    <d v="2021-07-02T00:00:00"/>
    <b v="1"/>
    <n v="17.7"/>
    <d v="2021-08-13T00:00:00"/>
    <n v="1.8149999999999999"/>
    <d v="2023-11-01T00:00:00"/>
    <n v="12.55"/>
    <d v="2026-07-01T00:00:00"/>
    <n v="1254"/>
    <s v="ok"/>
    <x v="1"/>
    <n v="8.7520661157024797"/>
  </r>
  <r>
    <s v="EBC"/>
    <s v="EBC"/>
    <s v="Eastern Bankshares, Inc."/>
    <x v="6"/>
    <n v="6035"/>
    <s v="SAVINGS INSTITUTION, FEDERALLY CHARTERED"/>
    <d v="2020-10-15T00:00:00"/>
    <d v="2021-07-02T00:00:00"/>
    <b v="1"/>
    <n v="22.754999999999999"/>
    <d v="2026-07-01T00:00:00"/>
    <n v="9.93"/>
    <d v="2023-05-04T00:00:00"/>
    <n v="22.63"/>
    <d v="2026-07-01T00:00:00"/>
    <n v="1254"/>
    <s v="ok"/>
    <x v="0"/>
    <n v="1.2915407854984895"/>
  </r>
  <r>
    <s v="DLO"/>
    <s v="DLO"/>
    <s v="dLocal Ltd."/>
    <x v="6"/>
    <m/>
    <m/>
    <d v="2021-06-03T00:00:00"/>
    <d v="2021-07-02T00:00:00"/>
    <b v="1"/>
    <n v="73.430000000000007"/>
    <d v="2021-09-01T00:00:00"/>
    <n v="6.5749000000000004"/>
    <d v="2024-08-05T00:00:00"/>
    <n v="14.67"/>
    <d v="2026-07-01T00:00:00"/>
    <n v="1254"/>
    <s v="ok"/>
    <x v="1"/>
    <n v="10.168230695523887"/>
  </r>
  <r>
    <s v="ECG"/>
    <s v="ECG"/>
    <s v="Everus Construction Group, Inc."/>
    <x v="3"/>
    <n v="1531"/>
    <s v="OPERATIVE BUILDERS"/>
    <d v="2024-10-28T00:00:00"/>
    <d v="2024-11-01T00:00:00"/>
    <b v="1"/>
    <n v="171.577"/>
    <d v="2026-05-06T00:00:00"/>
    <n v="31.38"/>
    <d v="2025-04-04T00:00:00"/>
    <n v="151.02000000000001"/>
    <d v="2026-07-01T00:00:00"/>
    <n v="415"/>
    <s v="ok"/>
    <x v="0"/>
    <n v="4.4677182919056726"/>
  </r>
  <r>
    <s v="INTR"/>
    <s v="INTR"/>
    <s v="Inter &amp; Co., Inc."/>
    <x v="6"/>
    <m/>
    <m/>
    <d v="2022-06-23T00:00:00"/>
    <d v="2022-06-23T00:00:00"/>
    <b v="0"/>
    <n v="10.36"/>
    <d v="2026-01-29T00:00:00"/>
    <n v="1.37"/>
    <d v="2023-03-23T00:00:00"/>
    <n v="5.49"/>
    <d v="2026-07-01T00:00:00"/>
    <n v="1009"/>
    <s v="ok"/>
    <x v="0"/>
    <n v="6.5620437956204363"/>
  </r>
  <r>
    <s v="AI"/>
    <s v="AI"/>
    <s v="C3.ai, Inc."/>
    <x v="2"/>
    <n v="7372"/>
    <s v="SERVICES-PREPACKAGED SOFTWARE"/>
    <d v="2020-12-09T00:00:00"/>
    <d v="2021-07-02T00:00:00"/>
    <b v="1"/>
    <n v="64.5"/>
    <d v="2021-07-02T00:00:00"/>
    <n v="7.6749999999999998"/>
    <d v="2026-03-30T00:00:00"/>
    <n v="9.43"/>
    <d v="2026-07-01T00:00:00"/>
    <n v="1254"/>
    <s v="ok"/>
    <x v="1"/>
    <n v="7.4039087947882738"/>
  </r>
  <r>
    <s v="SHC"/>
    <s v="SHC"/>
    <s v="Sotera Health Co."/>
    <x v="8"/>
    <n v="8090"/>
    <s v="SERVICES-MISC HEALTH &amp; ALLIED SERVICES, NEC"/>
    <d v="2020-11-20T00:00:00"/>
    <d v="2021-07-02T00:00:00"/>
    <b v="1"/>
    <n v="27.38"/>
    <d v="2021-11-04T00:00:00"/>
    <n v="5.78"/>
    <d v="2022-11-09T00:00:00"/>
    <n v="17.75"/>
    <d v="2026-07-01T00:00:00"/>
    <n v="1254"/>
    <s v="ok"/>
    <x v="1"/>
    <n v="3.7370242214532867"/>
  </r>
  <r>
    <s v="ASAN"/>
    <s v="ASAN"/>
    <s v="Asana, Inc."/>
    <x v="2"/>
    <n v="7372"/>
    <s v="SERVICES-PREPACKAGED SOFTWARE"/>
    <d v="2020-09-30T00:00:00"/>
    <d v="2021-07-02T00:00:00"/>
    <b v="1"/>
    <n v="145.78989999999999"/>
    <d v="2021-11-15T00:00:00"/>
    <n v="5.38"/>
    <d v="2026-04-13T00:00:00"/>
    <n v="7.31"/>
    <d v="2026-07-01T00:00:00"/>
    <n v="1254"/>
    <s v="ok"/>
    <x v="1"/>
    <n v="26.09849442379182"/>
  </r>
  <r>
    <s v="NCNO"/>
    <s v="NCNO"/>
    <s v="nCino, Inc."/>
    <x v="6"/>
    <n v="7372"/>
    <s v="SERVICES-PREPACKAGED SOFTWARE"/>
    <d v="2020-07-14T00:00:00"/>
    <d v="2021-07-02T00:00:00"/>
    <b v="1"/>
    <n v="79.429900000000004"/>
    <d v="2021-09-17T00:00:00"/>
    <n v="13.8"/>
    <d v="2026-02-23T00:00:00"/>
    <n v="17.149999999999999"/>
    <d v="2026-07-01T00:00:00"/>
    <n v="1254"/>
    <s v="ok"/>
    <x v="1"/>
    <n v="4.7557898550724635"/>
  </r>
  <r>
    <s v="DAVE"/>
    <s v="DAVE"/>
    <s v="Dave, Inc."/>
    <x v="6"/>
    <n v="6199"/>
    <s v="FINANCE SERVICES"/>
    <d v="2022-01-06T00:00:00"/>
    <d v="2022-01-06T00:00:00"/>
    <b v="0"/>
    <n v="491.06880000000001"/>
    <d v="2022-02-02T00:00:00"/>
    <n v="4.4668000000000001"/>
    <d v="2023-05-10T00:00:00"/>
    <n v="383.13"/>
    <d v="2026-07-01T00:00:00"/>
    <n v="1124"/>
    <s v="ok"/>
    <x v="1"/>
    <n v="108.93749440315214"/>
  </r>
  <r>
    <s v="RGTI"/>
    <s v="RGTI"/>
    <s v="Rigetti Computing, Inc."/>
    <x v="2"/>
    <n v="7371"/>
    <s v="SERVICES-COMPUTER PROGRAMMING SERVICES"/>
    <d v="2022-03-02T00:00:00"/>
    <d v="2022-03-02T00:00:00"/>
    <b v="0"/>
    <n v="58.150100000000002"/>
    <d v="2025-10-14T00:00:00"/>
    <n v="0.36009999999999998"/>
    <d v="2023-05-04T00:00:00"/>
    <n v="18.68"/>
    <d v="2026-07-01T00:00:00"/>
    <n v="1087"/>
    <s v="ok"/>
    <x v="0"/>
    <n v="160.48319911135798"/>
  </r>
  <r>
    <s v="PRCT"/>
    <s v="PRCT"/>
    <s v="PROCEPT BioRobotics Corp."/>
    <x v="8"/>
    <n v="3841"/>
    <s v="SURGICAL &amp; MEDICAL INSTRUMENTS &amp; APPARATUS"/>
    <d v="2021-09-15T00:00:00"/>
    <d v="2021-09-15T00:00:00"/>
    <b v="0"/>
    <n v="103.8099"/>
    <d v="2024-11-11T00:00:00"/>
    <n v="15.38"/>
    <d v="2022-01-24T00:00:00"/>
    <n v="23.47"/>
    <d v="2026-07-01T00:00:00"/>
    <n v="1203"/>
    <s v="ok"/>
    <x v="0"/>
    <n v="5.7496684005201564"/>
  </r>
  <r>
    <s v="ASO"/>
    <s v="ASO"/>
    <s v="Academy Sports &amp; Outdoors, Inc."/>
    <x v="9"/>
    <n v="5940"/>
    <s v="RETAIL-MISCELLANEOUS SHOPPING GOODS STORES"/>
    <d v="2020-10-02T00:00:00"/>
    <d v="2021-07-02T00:00:00"/>
    <b v="1"/>
    <n v="75.73"/>
    <d v="2024-03-05T00:00:00"/>
    <n v="25.1"/>
    <d v="2022-05-25T00:00:00"/>
    <n v="47.25"/>
    <d v="2026-07-01T00:00:00"/>
    <n v="1254"/>
    <s v="ok"/>
    <x v="0"/>
    <n v="2.0171314741035857"/>
  </r>
  <r>
    <s v="CXT"/>
    <s v="CXT"/>
    <s v="Crane NXT Co."/>
    <x v="2"/>
    <n v="3490"/>
    <s v="MISCELLANEOUS FABRICATED METAL PRODUCTS"/>
    <d v="2023-03-29T00:00:00"/>
    <d v="2023-04-04T00:00:00"/>
    <b v="1"/>
    <n v="69"/>
    <d v="2025-10-09T00:00:00"/>
    <n v="35.704999999999998"/>
    <d v="2026-06-03T00:00:00"/>
    <n v="51.96"/>
    <d v="2026-07-01T00:00:00"/>
    <n v="813"/>
    <s v="ok"/>
    <x v="1"/>
    <n v="0.93250245063716575"/>
  </r>
  <r>
    <s v="BNL"/>
    <s v="BNL"/>
    <s v="Broadstone Net Lease, Inc."/>
    <x v="6"/>
    <n v="6798"/>
    <s v="REAL ESTATE INVESTMENT TRUSTS"/>
    <d v="2020-09-17T00:00:00"/>
    <d v="2021-07-02T00:00:00"/>
    <b v="1"/>
    <n v="28"/>
    <d v="2021-09-03T00:00:00"/>
    <n v="13.68"/>
    <d v="2023-10-27T00:00:00"/>
    <n v="20.78"/>
    <d v="2026-07-01T00:00:00"/>
    <n v="1254"/>
    <s v="ok"/>
    <x v="1"/>
    <n v="1.0467836257309941"/>
  </r>
  <r>
    <s v="GBTG"/>
    <s v="GBTG"/>
    <s v="Global Business Travel Group, Inc."/>
    <x v="4"/>
    <n v="4700"/>
    <s v="TRANSPORTATION SERVICES"/>
    <d v="2022-05-27T00:00:00"/>
    <d v="2022-05-31T00:00:00"/>
    <b v="1"/>
    <n v="9.6"/>
    <d v="2024-11-25T00:00:00"/>
    <n v="4.26"/>
    <d v="2022-11-17T00:00:00"/>
    <n v="9.4"/>
    <d v="2026-07-01T00:00:00"/>
    <n v="1025"/>
    <s v="ok"/>
    <x v="0"/>
    <n v="1.2535211267605635"/>
  </r>
  <r>
    <s v="MLTX"/>
    <s v="MLTX"/>
    <s v="MoonLake Immunotherapeutics"/>
    <x v="8"/>
    <n v="2834"/>
    <s v="PHARMACEUTICAL PREPARATIONS"/>
    <d v="2022-04-06T00:00:00"/>
    <d v="2022-04-06T00:00:00"/>
    <b v="0"/>
    <n v="64.98"/>
    <d v="2024-02-12T00:00:00"/>
    <n v="4.25"/>
    <d v="2022-05-16T00:00:00"/>
    <n v="19.13"/>
    <d v="2026-07-01T00:00:00"/>
    <n v="1061"/>
    <s v="ok"/>
    <x v="0"/>
    <n v="14.289411764705884"/>
  </r>
  <r>
    <s v="ALIT"/>
    <s v="ALIT"/>
    <s v="Alight, Inc."/>
    <x v="2"/>
    <n v="7389"/>
    <s v="SERVICES-BUSINESS SERVICES, NEC"/>
    <d v="2021-07-06T00:00:00"/>
    <d v="2021-07-06T00:00:00"/>
    <b v="0"/>
    <n v="266.8"/>
    <d v="2021-09-10T00:00:00"/>
    <n v="9.5760000000000005"/>
    <d v="2026-04-09T00:00:00"/>
    <n v="13.73"/>
    <d v="2026-07-01T00:00:00"/>
    <n v="1253"/>
    <s v="ok"/>
    <x v="1"/>
    <n v="26.861319966583121"/>
  </r>
  <r>
    <s v="KGS"/>
    <s v="KGS"/>
    <s v="Kodiak Gas Services, Inc."/>
    <x v="1"/>
    <n v="4922"/>
    <s v="NATURAL GAS TRANSMISSION"/>
    <d v="2023-06-29T00:00:00"/>
    <d v="2023-06-29T00:00:00"/>
    <b v="0"/>
    <n v="77.680000000000007"/>
    <d v="2026-05-20T00:00:00"/>
    <n v="15.05"/>
    <d v="2023-07-05T00:00:00"/>
    <n v="72.400000000000006"/>
    <d v="2026-07-01T00:00:00"/>
    <n v="754"/>
    <s v="ok"/>
    <x v="0"/>
    <n v="4.1614617940199343"/>
  </r>
  <r>
    <s v="PPLI"/>
    <s v="PPLI"/>
    <s v="People, Inc."/>
    <x v="2"/>
    <n v="7370"/>
    <s v="SERVICES-COMPUTER PROGRAMMING, DATA PROCESSING, ETC."/>
    <d v="2020-07-01T00:00:00"/>
    <d v="2026-06-04T00:00:00"/>
    <b v="1"/>
    <n v="46.88"/>
    <d v="2026-07-01T00:00:00"/>
    <n v="41.05"/>
    <d v="2026-06-23T00:00:00"/>
    <n v="45.94"/>
    <d v="2026-07-01T00:00:00"/>
    <n v="19"/>
    <s v="ok"/>
    <x v="0"/>
    <n v="0.14202192448233875"/>
  </r>
  <r>
    <s v="ALKT"/>
    <s v="ALKT"/>
    <s v="Alkami Technology, Inc."/>
    <x v="6"/>
    <n v="7372"/>
    <s v="SERVICES-PREPACKAGED SOFTWARE"/>
    <d v="2021-04-14T00:00:00"/>
    <d v="2021-07-02T00:00:00"/>
    <b v="1"/>
    <n v="42.29"/>
    <d v="2024-11-25T00:00:00"/>
    <n v="9.23"/>
    <d v="2022-05-10T00:00:00"/>
    <n v="18.72"/>
    <d v="2026-07-01T00:00:00"/>
    <n v="1254"/>
    <s v="ok"/>
    <x v="0"/>
    <n v="3.5817984832069341"/>
  </r>
  <r>
    <s v="VAL"/>
    <s v="VAL"/>
    <s v="Valaris Ltd."/>
    <x v="1"/>
    <n v="1381"/>
    <s v="DRILLING OIL &amp; GAS WELLS"/>
    <d v="2021-05-03T00:00:00"/>
    <d v="2021-07-02T00:00:00"/>
    <b v="1"/>
    <n v="114.12"/>
    <d v="2026-05-18T00:00:00"/>
    <n v="23.02"/>
    <d v="2021-08-19T00:00:00"/>
    <n v="72.459999999999994"/>
    <d v="2026-07-01T00:00:00"/>
    <n v="1254"/>
    <s v="ok"/>
    <x v="0"/>
    <n v="3.9574283231972203"/>
  </r>
  <r>
    <s v="HAYW"/>
    <s v="HAYW"/>
    <s v="Hayward Holdings, Inc."/>
    <x v="9"/>
    <n v="3580"/>
    <s v="REFRIGERATION &amp; SERVICE INDUSTRY MACHINERY"/>
    <d v="2021-03-12T00:00:00"/>
    <d v="2021-07-02T00:00:00"/>
    <b v="1"/>
    <n v="28.65"/>
    <d v="2021-11-18T00:00:00"/>
    <n v="7.97"/>
    <d v="2022-10-21T00:00:00"/>
    <n v="16.97"/>
    <d v="2026-07-01T00:00:00"/>
    <n v="1254"/>
    <s v="ok"/>
    <x v="1"/>
    <n v="2.5947302383939777"/>
  </r>
  <r>
    <s v="LMND"/>
    <s v="LMND"/>
    <s v="Lemonade, Inc."/>
    <x v="6"/>
    <n v="6331"/>
    <s v="FIRE, MARINE &amp; CASUALTY INSURANCE"/>
    <d v="2020-07-02T00:00:00"/>
    <d v="2021-07-02T00:00:00"/>
    <b v="1"/>
    <n v="114.8"/>
    <d v="2021-07-02T00:00:00"/>
    <n v="10.265000000000001"/>
    <d v="2023-10-30T00:00:00"/>
    <n v="69.33"/>
    <d v="2026-07-01T00:00:00"/>
    <n v="1254"/>
    <s v="ok"/>
    <x v="1"/>
    <n v="10.183633706770578"/>
  </r>
  <r>
    <s v="ATMU"/>
    <s v="ATMU"/>
    <s v="Atmus Filtration Technologies, Inc."/>
    <x v="3"/>
    <n v="3714"/>
    <s v="MOTOR VEHICLE PARTS &amp; ACCESSORIES"/>
    <d v="2023-05-26T00:00:00"/>
    <d v="2023-05-26T00:00:00"/>
    <b v="0"/>
    <n v="66.5"/>
    <d v="2026-02-25T00:00:00"/>
    <n v="18.21"/>
    <d v="2023-11-01T00:00:00"/>
    <n v="49.64"/>
    <d v="2026-07-01T00:00:00"/>
    <n v="776"/>
    <s v="ok"/>
    <x v="0"/>
    <n v="2.6518396485447555"/>
  </r>
  <r>
    <s v="MRX"/>
    <s v="MRX"/>
    <s v="Marex Group plc"/>
    <x v="6"/>
    <m/>
    <m/>
    <d v="2024-04-25T00:00:00"/>
    <d v="2024-04-25T00:00:00"/>
    <b v="0"/>
    <n v="67.349999999999994"/>
    <d v="2026-06-24T00:00:00"/>
    <n v="18.13"/>
    <d v="2024-06-05T00:00:00"/>
    <n v="65.22"/>
    <d v="2026-07-01T00:00:00"/>
    <n v="547"/>
    <s v="ok"/>
    <x v="0"/>
    <n v="2.7148372862658579"/>
  </r>
  <r>
    <s v="HSAI"/>
    <s v="HSAI"/>
    <s v="Hesai Group"/>
    <x v="2"/>
    <m/>
    <m/>
    <d v="2023-02-09T00:00:00"/>
    <d v="2023-02-09T00:00:00"/>
    <b v="0"/>
    <n v="30.85"/>
    <d v="2025-09-22T00:00:00"/>
    <n v="3.28"/>
    <d v="2024-02-02T00:00:00"/>
    <n v="18.23"/>
    <d v="2026-07-01T00:00:00"/>
    <n v="850"/>
    <s v="ok"/>
    <x v="0"/>
    <n v="8.4054878048780495"/>
  </r>
  <r>
    <s v="BRZE"/>
    <s v="BRZE"/>
    <s v="Braze, Inc."/>
    <x v="2"/>
    <n v="7372"/>
    <s v="SERVICES-PREPACKAGED SOFTWARE"/>
    <d v="2021-11-17T00:00:00"/>
    <d v="2021-11-17T00:00:00"/>
    <b v="0"/>
    <n v="98.779899999999998"/>
    <d v="2021-11-22T00:00:00"/>
    <n v="15.26"/>
    <d v="2026-02-23T00:00:00"/>
    <n v="22.93"/>
    <d v="2026-07-01T00:00:00"/>
    <n v="1158"/>
    <s v="ok"/>
    <x v="1"/>
    <n v="5.4731258191349932"/>
  </r>
  <r>
    <s v="DRVN"/>
    <s v="DRVN"/>
    <s v="Driven Brands Holdings, Inc."/>
    <x v="9"/>
    <n v="7500"/>
    <s v="SERVICES-AUTOMOTIVE REPAIR, SERVICES &amp; PARKING"/>
    <d v="2021-01-15T00:00:00"/>
    <d v="2021-07-02T00:00:00"/>
    <b v="1"/>
    <n v="35.450000000000003"/>
    <d v="2022-09-12T00:00:00"/>
    <n v="9.8000000000000007"/>
    <d v="2026-02-25T00:00:00"/>
    <n v="14.11"/>
    <d v="2026-07-01T00:00:00"/>
    <n v="1254"/>
    <s v="ok"/>
    <x v="1"/>
    <n v="2.6173469387755102"/>
  </r>
  <r>
    <s v="CRGY"/>
    <s v="CRGY"/>
    <s v="Crescent Energy Co."/>
    <x v="1"/>
    <n v="1311"/>
    <s v="CRUDE PETROLEUM &amp; NATURAL GAS"/>
    <d v="2021-12-08T00:00:00"/>
    <d v="2021-12-08T00:00:00"/>
    <b v="0"/>
    <n v="19.649999999999999"/>
    <d v="2022-04-18T00:00:00"/>
    <n v="6.83"/>
    <d v="2025-04-09T00:00:00"/>
    <n v="9.4700000000000006"/>
    <d v="2026-07-01T00:00:00"/>
    <n v="1144"/>
    <s v="ok"/>
    <x v="1"/>
    <n v="1.8770131771595897"/>
  </r>
  <r>
    <s v="KYMR"/>
    <s v="KYMR"/>
    <s v="Kymera Therapeutics, Inc."/>
    <x v="8"/>
    <n v="2836"/>
    <s v="BIOLOGICAL PRODUCTS, (NO DIAGNOSTIC SUBSTANCES)"/>
    <d v="2020-08-21T00:00:00"/>
    <d v="2021-07-02T00:00:00"/>
    <b v="1"/>
    <n v="130.05000000000001"/>
    <d v="2026-06-25T00:00:00"/>
    <n v="9.6"/>
    <d v="2023-11-02T00:00:00"/>
    <n v="114.2"/>
    <d v="2026-07-01T00:00:00"/>
    <n v="1254"/>
    <s v="ok"/>
    <x v="0"/>
    <n v="12.546875000000002"/>
  </r>
  <r>
    <s v="WNS^25"/>
    <s v="WNS"/>
    <s v="WNS (Holdings) Ltd."/>
    <x v="0"/>
    <n v="7389"/>
    <s v="SERVICES-BUSINESS SERVICES, NEC"/>
    <d v="2024-03-28T00:00:00"/>
    <d v="2024-03-28T00:00:00"/>
    <b v="0"/>
    <n v="76.48"/>
    <d v="2025-10-16T00:00:00"/>
    <n v="39.844999999999999"/>
    <d v="2024-04-26T00:00:00"/>
    <n v="76.48"/>
    <d v="2025-10-16T00:00:00"/>
    <n v="390"/>
    <s v="ok"/>
    <x v="0"/>
    <n v="0.91943782155853948"/>
  </r>
  <r>
    <s v="MQ"/>
    <s v="MQ"/>
    <s v="Marqeta, Inc."/>
    <x v="6"/>
    <n v="7372"/>
    <s v="SERVICES-PREPACKAGED SOFTWARE"/>
    <d v="2021-06-09T00:00:00"/>
    <d v="2021-07-02T00:00:00"/>
    <b v="1"/>
    <n v="151.6"/>
    <d v="2021-10-27T00:00:00"/>
    <n v="13.48"/>
    <d v="2024-11-05T00:00:00"/>
    <n v="16.62"/>
    <d v="2026-07-01T00:00:00"/>
    <n v="1254"/>
    <s v="ok"/>
    <x v="1"/>
    <n v="10.246290801186944"/>
  </r>
  <r>
    <s v="FA"/>
    <s v="FA"/>
    <s v="First Advantage Corp."/>
    <x v="0"/>
    <n v="7374"/>
    <s v="SERVICES-COMPUTER PROCESSING &amp; DATA PREPARATION"/>
    <d v="2021-06-23T00:00:00"/>
    <d v="2021-07-02T00:00:00"/>
    <b v="1"/>
    <n v="24.73"/>
    <d v="2021-09-13T00:00:00"/>
    <n v="8.82"/>
    <d v="2026-02-24T00:00:00"/>
    <n v="18.895"/>
    <d v="2026-07-01T00:00:00"/>
    <n v="1254"/>
    <s v="ok"/>
    <x v="1"/>
    <n v="1.8038548752834467"/>
  </r>
  <r>
    <s v="ACVA"/>
    <s v="ACVA"/>
    <s v="ACV Auctions, Inc."/>
    <x v="2"/>
    <n v="7389"/>
    <s v="SERVICES-BUSINESS SERVICES, NEC"/>
    <d v="2021-03-24T00:00:00"/>
    <d v="2021-07-02T00:00:00"/>
    <b v="1"/>
    <n v="25.28"/>
    <d v="2021-07-02T00:00:00"/>
    <n v="4.0650000000000004"/>
    <d v="2026-03-27T00:00:00"/>
    <n v="7.29"/>
    <d v="2026-07-01T00:00:00"/>
    <n v="1254"/>
    <s v="ok"/>
    <x v="1"/>
    <n v="5.2189421894218935"/>
  </r>
  <r>
    <s v="CON"/>
    <s v="CON"/>
    <s v="Concentra Group Holdings Parent, Inc."/>
    <x v="8"/>
    <n v="8093"/>
    <s v="SERVICES-SPECIALTY OUTPATIENT FACILITIES, NEC"/>
    <d v="2024-07-25T00:00:00"/>
    <d v="2024-07-25T00:00:00"/>
    <b v="0"/>
    <n v="30.9"/>
    <d v="2026-07-01T00:00:00"/>
    <n v="18.545000000000002"/>
    <d v="2025-11-06T00:00:00"/>
    <n v="30.77"/>
    <d v="2026-07-01T00:00:00"/>
    <n v="485"/>
    <s v="ok"/>
    <x v="0"/>
    <n v="0.66621730924777545"/>
  </r>
  <r>
    <s v="ALHC"/>
    <s v="ALHC"/>
    <s v="Alignment Healthcare, Inc."/>
    <x v="8"/>
    <n v="6324"/>
    <s v="HOSPITAL &amp; MEDICAL SERVICE PLANS"/>
    <d v="2021-03-26T00:00:00"/>
    <d v="2021-07-02T00:00:00"/>
    <b v="1"/>
    <n v="24.114999999999998"/>
    <d v="2026-07-01T00:00:00"/>
    <n v="4.46"/>
    <d v="2024-04-03T00:00:00"/>
    <n v="24.01"/>
    <d v="2026-07-01T00:00:00"/>
    <n v="1254"/>
    <s v="ok"/>
    <x v="0"/>
    <n v="4.4069506726457393"/>
  </r>
  <r>
    <s v="PRVA"/>
    <s v="PRVA"/>
    <s v="Privia Health Group, Inc."/>
    <x v="8"/>
    <n v="8000"/>
    <s v="SERVICES-HEALTH SERVICES"/>
    <d v="2021-04-29T00:00:00"/>
    <d v="2021-07-02T00:00:00"/>
    <b v="1"/>
    <n v="47.77"/>
    <d v="2021-07-23T00:00:00"/>
    <n v="15.92"/>
    <d v="2024-05-21T00:00:00"/>
    <n v="26.88"/>
    <d v="2026-07-01T00:00:00"/>
    <n v="1254"/>
    <s v="ok"/>
    <x v="1"/>
    <n v="2.0006281407035176"/>
  </r>
  <r>
    <s v="WRBY"/>
    <s v="WRBY"/>
    <s v="Warby Parker, Inc."/>
    <x v="9"/>
    <n v="3851"/>
    <s v="OPHTHALMIC GOODS"/>
    <d v="2021-09-29T00:00:00"/>
    <d v="2021-09-29T00:00:00"/>
    <b v="0"/>
    <n v="60.3"/>
    <d v="2021-11-12T00:00:00"/>
    <n v="9.5"/>
    <d v="2023-03-20T00:00:00"/>
    <n v="29.37"/>
    <d v="2026-07-01T00:00:00"/>
    <n v="1193"/>
    <s v="ok"/>
    <x v="1"/>
    <n v="5.3473684210526313"/>
  </r>
  <r>
    <s v="DOCN"/>
    <s v="DOCN"/>
    <s v="DigitalOcean Holdings, Inc."/>
    <x v="2"/>
    <n v="7370"/>
    <s v="SERVICES-COMPUTER PROGRAMMING, DATA PROCESSING, ETC."/>
    <d v="2021-03-24T00:00:00"/>
    <d v="2021-07-02T00:00:00"/>
    <b v="1"/>
    <n v="187.5"/>
    <d v="2026-06-17T00:00:00"/>
    <n v="19.39"/>
    <d v="2023-11-01T00:00:00"/>
    <n v="144.58000000000001"/>
    <d v="2026-07-01T00:00:00"/>
    <n v="1254"/>
    <s v="ok"/>
    <x v="0"/>
    <n v="8.669932955131511"/>
  </r>
  <r>
    <s v="APGE"/>
    <s v="APGE"/>
    <s v="Apogee Therapeutics, Inc."/>
    <x v="8"/>
    <n v="2836"/>
    <s v="BIOLOGICAL PRODUCTS, (NO DIAGNOSTIC SUBSTANCES)"/>
    <d v="2023-07-14T00:00:00"/>
    <d v="2023-07-14T00:00:00"/>
    <b v="0"/>
    <n v="133.16"/>
    <d v="2026-06-23T00:00:00"/>
    <n v="14.19"/>
    <d v="2023-11-10T00:00:00"/>
    <n v="132.77000000000001"/>
    <d v="2026-07-01T00:00:00"/>
    <n v="744"/>
    <s v="ok"/>
    <x v="0"/>
    <n v="8.3840732910500346"/>
  </r>
  <r>
    <s v="GENI"/>
    <s v="GENI"/>
    <s v="Genius Sports Ltd."/>
    <x v="2"/>
    <m/>
    <m/>
    <d v="2021-04-21T00:00:00"/>
    <d v="2021-07-02T00:00:00"/>
    <b v="1"/>
    <n v="24.14"/>
    <d v="2021-09-09T00:00:00"/>
    <n v="2.2000000000000002"/>
    <d v="2022-06-30T00:00:00"/>
    <n v="6.36"/>
    <d v="2026-07-01T00:00:00"/>
    <n v="1254"/>
    <s v="ok"/>
    <x v="1"/>
    <n v="9.9727272727272727"/>
  </r>
  <r>
    <s v="OGN"/>
    <s v="OGN"/>
    <s v="Organon &amp; Co."/>
    <x v="8"/>
    <n v="2834"/>
    <s v="PHARMACEUTICAL PREPARATIONS"/>
    <d v="2021-05-14T00:00:00"/>
    <d v="2021-07-02T00:00:00"/>
    <b v="1"/>
    <n v="39.475000000000001"/>
    <d v="2022-03-02T00:00:00"/>
    <n v="5.69"/>
    <d v="2026-03-30T00:00:00"/>
    <n v="13.53"/>
    <d v="2026-07-01T00:00:00"/>
    <n v="1254"/>
    <s v="ok"/>
    <x v="1"/>
    <n v="5.9376098418277685"/>
  </r>
  <r>
    <s v="TMC"/>
    <s v="TMC"/>
    <s v="TMC the metals co., Inc."/>
    <x v="10"/>
    <n v="1000"/>
    <s v="METAL MINING"/>
    <d v="2021-09-10T00:00:00"/>
    <d v="2021-09-10T00:00:00"/>
    <b v="0"/>
    <n v="15.39"/>
    <d v="2021-09-13T00:00:00"/>
    <n v="0.51100000000000001"/>
    <d v="2022-12-23T00:00:00"/>
    <n v="4.3600000000000003"/>
    <d v="2026-07-01T00:00:00"/>
    <n v="1206"/>
    <s v="ok"/>
    <x v="1"/>
    <n v="29.117416829745601"/>
  </r>
  <r>
    <s v="WGS"/>
    <s v="WGS"/>
    <s v="GeneDx Holdings Corp."/>
    <x v="8"/>
    <n v="8000"/>
    <s v="SERVICES-HEALTH SERVICES"/>
    <d v="2021-07-23T00:00:00"/>
    <d v="2023-01-10T00:00:00"/>
    <b v="1"/>
    <n v="170.87"/>
    <d v="2025-12-02T00:00:00"/>
    <n v="1.1599999999999999"/>
    <d v="2023-11-16T00:00:00"/>
    <n v="71.709999999999994"/>
    <d v="2026-07-01T00:00:00"/>
    <n v="871"/>
    <s v="ok"/>
    <x v="0"/>
    <n v="146.30172413793105"/>
  </r>
  <r>
    <s v="WRD"/>
    <s v="WRD"/>
    <s v="WeRide, Inc."/>
    <x v="3"/>
    <m/>
    <m/>
    <d v="2024-10-25T00:00:00"/>
    <d v="2024-10-25T00:00:00"/>
    <b v="0"/>
    <n v="44"/>
    <d v="2025-02-18T00:00:00"/>
    <n v="5.18"/>
    <d v="2026-06-26T00:00:00"/>
    <n v="5.71"/>
    <d v="2026-07-01T00:00:00"/>
    <n v="420"/>
    <s v="ok"/>
    <x v="1"/>
    <n v="7.494208494208495"/>
  </r>
  <r>
    <s v="RXO"/>
    <s v="RXO"/>
    <s v="RXO, Inc."/>
    <x v="3"/>
    <n v="4700"/>
    <s v="TRANSPORTATION SERVICES"/>
    <d v="2022-10-27T00:00:00"/>
    <d v="2022-11-01T00:00:00"/>
    <b v="1"/>
    <n v="32.82"/>
    <d v="2024-07-31T00:00:00"/>
    <n v="10.425000000000001"/>
    <d v="2025-11-18T00:00:00"/>
    <n v="27.74"/>
    <d v="2026-07-01T00:00:00"/>
    <n v="918"/>
    <s v="ok"/>
    <x v="1"/>
    <n v="2.1482014388489206"/>
  </r>
  <r>
    <s v="RNW"/>
    <s v="RNW"/>
    <s v="ReNew Energy Global Plc"/>
    <x v="5"/>
    <m/>
    <m/>
    <d v="2021-08-24T00:00:00"/>
    <d v="2021-08-24T00:00:00"/>
    <b v="0"/>
    <n v="12.3"/>
    <d v="2021-09-29T00:00:00"/>
    <n v="4.0350000000000001"/>
    <d v="2023-03-02T00:00:00"/>
    <n v="6.18"/>
    <d v="2026-07-01T00:00:00"/>
    <n v="1218"/>
    <s v="ok"/>
    <x v="1"/>
    <n v="2.0483271375464684"/>
  </r>
  <r>
    <s v="DV"/>
    <s v="DV"/>
    <s v="DoubleVerify Holdings, Inc."/>
    <x v="4"/>
    <n v="7370"/>
    <s v="SERVICES-COMPUTER PROGRAMMING, DATA PROCESSING, ETC."/>
    <d v="2021-04-21T00:00:00"/>
    <d v="2021-07-02T00:00:00"/>
    <b v="1"/>
    <n v="43"/>
    <d v="2024-02-26T00:00:00"/>
    <n v="7.64"/>
    <d v="2025-11-07T00:00:00"/>
    <n v="11.22"/>
    <d v="2026-07-01T00:00:00"/>
    <n v="1254"/>
    <s v="ok"/>
    <x v="1"/>
    <n v="4.6282722513089007"/>
  </r>
  <r>
    <s v="CURB"/>
    <s v="CURB"/>
    <s v="Curbline Properties Corp."/>
    <x v="6"/>
    <n v="6500"/>
    <s v="REAL ESTATE"/>
    <d v="2024-09-26T00:00:00"/>
    <d v="2024-10-01T00:00:00"/>
    <b v="1"/>
    <n v="31.87"/>
    <d v="2026-06-26T00:00:00"/>
    <n v="20.16"/>
    <d v="2024-10-01T00:00:00"/>
    <n v="30"/>
    <d v="2026-07-01T00:00:00"/>
    <n v="438"/>
    <s v="ok"/>
    <x v="0"/>
    <n v="0.58085317460317465"/>
  </r>
  <r>
    <s v="PAYO"/>
    <s v="PAYO"/>
    <s v="Payoneer Global, Inc."/>
    <x v="6"/>
    <n v="7389"/>
    <s v="SERVICES-BUSINESS SERVICES, NEC"/>
    <d v="2021-06-28T00:00:00"/>
    <d v="2021-07-02T00:00:00"/>
    <b v="1"/>
    <n v="11.29"/>
    <d v="2024-11-25T00:00:00"/>
    <n v="3.3250000000000002"/>
    <d v="2022-05-12T00:00:00"/>
    <n v="7.09"/>
    <d v="2026-07-01T00:00:00"/>
    <n v="1254"/>
    <s v="ok"/>
    <x v="0"/>
    <n v="2.3954887218045107"/>
  </r>
  <r>
    <s v="PCT"/>
    <s v="PCT"/>
    <s v="Purecycle Technologies, Inc."/>
    <x v="0"/>
    <n v="2821"/>
    <s v="PLASTIC MATERIALS, SYNTH RESINS &amp; NONVULCAN ELASTOMERS"/>
    <d v="2021-03-18T00:00:00"/>
    <d v="2021-07-02T00:00:00"/>
    <b v="1"/>
    <n v="24.791799999999999"/>
    <d v="2021-07-02T00:00:00"/>
    <n v="2.3849999999999998"/>
    <d v="2024-01-12T00:00:00"/>
    <n v="8.01"/>
    <d v="2026-07-01T00:00:00"/>
    <n v="1254"/>
    <s v="ok"/>
    <x v="1"/>
    <n v="9.3948846960167707"/>
  </r>
  <r>
    <s v="DFH"/>
    <s v="DFH"/>
    <s v="Dream Finders Homes, Inc."/>
    <x v="9"/>
    <n v="1531"/>
    <s v="OPERATIVE BUILDERS"/>
    <d v="2021-01-21T00:00:00"/>
    <d v="2021-07-02T00:00:00"/>
    <b v="1"/>
    <n v="44.38"/>
    <d v="2024-03-28T00:00:00"/>
    <n v="8.17"/>
    <d v="2022-12-28T00:00:00"/>
    <n v="16.39"/>
    <d v="2026-07-01T00:00:00"/>
    <n v="1254"/>
    <s v="ok"/>
    <x v="0"/>
    <n v="4.4320685434516527"/>
  </r>
  <r>
    <s v="RDW"/>
    <s v="RDW"/>
    <s v="Redwire Corp."/>
    <x v="3"/>
    <n v="3760"/>
    <s v="GUIDED MISSILES &amp; SPACE VEHICLES &amp; PARTS"/>
    <d v="2021-09-03T00:00:00"/>
    <d v="2021-09-03T00:00:00"/>
    <b v="0"/>
    <n v="26.66"/>
    <d v="2025-01-31T00:00:00"/>
    <n v="1.67"/>
    <d v="2022-12-28T00:00:00"/>
    <n v="11.97"/>
    <d v="2026-07-01T00:00:00"/>
    <n v="1210"/>
    <s v="ok"/>
    <x v="0"/>
    <n v="14.964071856287427"/>
  </r>
  <r>
    <s v="SKWD"/>
    <s v="SKWD"/>
    <s v="Skyward Specialty Insurance Group, Inc."/>
    <x v="6"/>
    <n v="6331"/>
    <s v="FIRE, MARINE &amp; CASUALTY INSURANCE"/>
    <d v="2023-01-13T00:00:00"/>
    <d v="2023-01-13T00:00:00"/>
    <b v="0"/>
    <n v="65.05"/>
    <d v="2025-06-02T00:00:00"/>
    <n v="17.5"/>
    <d v="2023-01-20T00:00:00"/>
    <n v="59.51"/>
    <d v="2026-07-01T00:00:00"/>
    <n v="868"/>
    <s v="ok"/>
    <x v="0"/>
    <n v="2.7171428571428571"/>
  </r>
  <r>
    <s v="CSAN"/>
    <s v="CSAN"/>
    <s v="Cosan SA"/>
    <x v="5"/>
    <m/>
    <m/>
    <d v="2021-03-08T00:00:00"/>
    <d v="2021-07-02T00:00:00"/>
    <b v="1"/>
    <n v="21.3"/>
    <d v="2021-07-29T00:00:00"/>
    <n v="2.52"/>
    <d v="2026-06-11T00:00:00"/>
    <n v="2.83"/>
    <d v="2026-07-01T00:00:00"/>
    <n v="1254"/>
    <s v="ok"/>
    <x v="1"/>
    <n v="7.4523809523809526"/>
  </r>
  <r>
    <s v="SOC"/>
    <s v="SOC"/>
    <s v="Sable Offshore Corp."/>
    <x v="1"/>
    <n v="1311"/>
    <s v="CRUDE PETROLEUM &amp; NATURAL GAS"/>
    <d v="2021-04-19T00:00:00"/>
    <d v="2024-02-15T00:00:00"/>
    <b v="1"/>
    <n v="35"/>
    <d v="2025-05-19T00:00:00"/>
    <n v="2.88"/>
    <d v="2026-06-30T00:00:00"/>
    <n v="4.4000000000000004"/>
    <d v="2026-07-01T00:00:00"/>
    <n v="595"/>
    <s v="ok"/>
    <x v="1"/>
    <n v="11.152777777777777"/>
  </r>
  <r>
    <s v="HTZ"/>
    <s v="HTZ"/>
    <s v="Hertz Global Holdings, Inc."/>
    <x v="9"/>
    <n v="7510"/>
    <s v="SERVICES-AUTO RENTAL &amp; LEASING (NO DRIVERS)"/>
    <d v="2021-06-30T00:00:00"/>
    <d v="2021-11-09T00:00:00"/>
    <b v="1"/>
    <n v="28"/>
    <d v="2021-11-09T00:00:00"/>
    <n v="2.13"/>
    <d v="2026-07-01T00:00:00"/>
    <n v="2.2000000000000002"/>
    <d v="2026-07-01T00:00:00"/>
    <n v="1164"/>
    <s v="ok"/>
    <x v="1"/>
    <n v="12.145539906103288"/>
  </r>
  <r>
    <s v="HG"/>
    <s v="HG"/>
    <s v="Hamilton Insurance Group Ltd."/>
    <x v="6"/>
    <n v="6331"/>
    <s v="FIRE, MARINE &amp; CASUALTY INSURANCE"/>
    <d v="2023-11-10T00:00:00"/>
    <d v="2023-11-10T00:00:00"/>
    <b v="0"/>
    <n v="34.53"/>
    <d v="2026-07-01T00:00:00"/>
    <n v="12.44"/>
    <d v="2024-04-10T00:00:00"/>
    <n v="33.78"/>
    <d v="2026-07-01T00:00:00"/>
    <n v="660"/>
    <s v="ok"/>
    <x v="0"/>
    <n v="1.7757234726688107"/>
  </r>
  <r>
    <s v="GCMG"/>
    <s v="GCMG"/>
    <s v="GCM Grosvenor, Inc."/>
    <x v="6"/>
    <n v="6282"/>
    <s v="INVESTMENT ADVICE"/>
    <d v="2020-11-18T00:00:00"/>
    <d v="2021-07-02T00:00:00"/>
    <b v="1"/>
    <n v="14.48"/>
    <d v="2025-02-20T00:00:00"/>
    <n v="6.26"/>
    <d v="2022-06-16T00:00:00"/>
    <n v="12.71"/>
    <d v="2026-07-01T00:00:00"/>
    <n v="1254"/>
    <s v="ok"/>
    <x v="0"/>
    <n v="1.3130990415335464"/>
  </r>
  <r>
    <s v="NATL"/>
    <s v="NATL"/>
    <s v="NCR Atleos Corp."/>
    <x v="2"/>
    <n v="3578"/>
    <s v="CALCULATING &amp; ACCOUNTING MACHINES (NO ELECTRONIC COMPUTERS)"/>
    <d v="2023-10-11T00:00:00"/>
    <d v="2023-10-17T00:00:00"/>
    <b v="1"/>
    <n v="48.5"/>
    <d v="2026-03-04T00:00:00"/>
    <n v="18.414999999999999"/>
    <d v="2024-03-22T00:00:00"/>
    <n v="44.09"/>
    <d v="2026-07-01T00:00:00"/>
    <n v="678"/>
    <s v="ok"/>
    <x v="0"/>
    <n v="1.6337225088243281"/>
  </r>
  <r>
    <s v="BTDR"/>
    <s v="BTDR"/>
    <s v="Bitdeer Technologies Group"/>
    <x v="6"/>
    <m/>
    <m/>
    <d v="2023-04-14T00:00:00"/>
    <d v="2023-04-14T00:00:00"/>
    <b v="0"/>
    <n v="27.8"/>
    <d v="2025-10-15T00:00:00"/>
    <n v="2.77"/>
    <d v="2023-10-23T00:00:00"/>
    <n v="15.44"/>
    <d v="2026-07-01T00:00:00"/>
    <n v="806"/>
    <s v="ok"/>
    <x v="0"/>
    <n v="9.0361010830324915"/>
  </r>
  <r>
    <s v="CXM"/>
    <s v="CXM"/>
    <s v="Sprinklr, Inc."/>
    <x v="2"/>
    <n v="7372"/>
    <s v="SERVICES-PREPACKAGED SOFTWARE"/>
    <d v="2021-06-23T00:00:00"/>
    <d v="2021-07-02T00:00:00"/>
    <b v="1"/>
    <n v="23.489899999999999"/>
    <d v="2021-07-12T00:00:00"/>
    <n v="4.7149999999999999"/>
    <d v="2026-04-23T00:00:00"/>
    <n v="5.32"/>
    <d v="2026-07-01T00:00:00"/>
    <n v="1254"/>
    <s v="ok"/>
    <x v="1"/>
    <n v="3.9819512195121951"/>
  </r>
  <r>
    <s v="PAX"/>
    <s v="PAX"/>
    <s v="Patria Investments Ltd."/>
    <x v="6"/>
    <m/>
    <m/>
    <d v="2021-01-22T00:00:00"/>
    <d v="2021-07-02T00:00:00"/>
    <b v="1"/>
    <n v="19.489899999999999"/>
    <d v="2021-11-18T00:00:00"/>
    <n v="9.43"/>
    <d v="2025-04-09T00:00:00"/>
    <n v="11"/>
    <d v="2026-07-01T00:00:00"/>
    <n v="1254"/>
    <s v="ok"/>
    <x v="1"/>
    <n v="1.066797454931071"/>
  </r>
  <r>
    <s v="DBD"/>
    <s v="DBD"/>
    <s v="Diebold Nixdorf, Inc."/>
    <x v="2"/>
    <n v="3578"/>
    <s v="CALCULATING &amp; ACCOUNTING MACHINES (NO ELECTRONIC COMPUTERS)"/>
    <d v="2023-08-14T00:00:00"/>
    <d v="2023-08-14T00:00:00"/>
    <b v="0"/>
    <n v="89.05"/>
    <d v="2026-04-23T00:00:00"/>
    <n v="16.5"/>
    <d v="2023-09-07T00:00:00"/>
    <n v="83.33"/>
    <d v="2026-07-01T00:00:00"/>
    <n v="723"/>
    <s v="ok"/>
    <x v="0"/>
    <n v="4.3969696969696965"/>
  </r>
  <r>
    <s v="SLVM"/>
    <s v="SLVM"/>
    <s v="Sylvamo Corp."/>
    <x v="10"/>
    <n v="2621"/>
    <s v="PAPER MILLS"/>
    <d v="2021-09-14T00:00:00"/>
    <d v="2021-10-01T00:00:00"/>
    <b v="1"/>
    <n v="98.02"/>
    <d v="2024-11-11T00:00:00"/>
    <n v="23.1"/>
    <d v="2021-10-06T00:00:00"/>
    <n v="37.450000000000003"/>
    <d v="2026-07-01T00:00:00"/>
    <n v="1191"/>
    <s v="ok"/>
    <x v="0"/>
    <n v="3.2432900432900427"/>
  </r>
  <r>
    <s v="ROOT"/>
    <s v="ROOT"/>
    <s v="Root, Inc."/>
    <x v="6"/>
    <n v="6331"/>
    <s v="FIRE, MARINE &amp; CASUALTY INSURANCE"/>
    <d v="2020-10-28T00:00:00"/>
    <d v="2021-07-02T00:00:00"/>
    <b v="1"/>
    <n v="181.14"/>
    <d v="2025-03-24T00:00:00"/>
    <n v="3.31"/>
    <d v="2023-03-15T00:00:00"/>
    <n v="60.01"/>
    <d v="2026-07-01T00:00:00"/>
    <n v="1254"/>
    <s v="ok"/>
    <x v="0"/>
    <n v="53.725075528700899"/>
  </r>
  <r>
    <s v="BKV"/>
    <s v="BKV"/>
    <s v="BKV Corp."/>
    <x v="1"/>
    <n v="1311"/>
    <s v="CRUDE PETROLEUM &amp; NATURAL GAS"/>
    <d v="2024-09-26T00:00:00"/>
    <d v="2024-09-26T00:00:00"/>
    <b v="0"/>
    <n v="32.81"/>
    <d v="2026-03-02T00:00:00"/>
    <n v="15"/>
    <d v="2025-04-09T00:00:00"/>
    <n v="27.2"/>
    <d v="2026-07-01T00:00:00"/>
    <n v="441"/>
    <s v="ok"/>
    <x v="0"/>
    <n v="1.1873333333333336"/>
  </r>
  <r>
    <s v="PRM"/>
    <s v="PRM"/>
    <s v="Perimeter Solutions, Inc."/>
    <x v="10"/>
    <n v="2800"/>
    <s v="CHEMICALS &amp; ALLIED PRODUCTS"/>
    <d v="2021-11-09T00:00:00"/>
    <d v="2021-11-09T00:00:00"/>
    <b v="0"/>
    <n v="38.17"/>
    <d v="2026-06-18T00:00:00"/>
    <n v="2.79"/>
    <d v="2023-11-01T00:00:00"/>
    <n v="34.65"/>
    <d v="2026-07-01T00:00:00"/>
    <n v="1164"/>
    <s v="ok"/>
    <x v="0"/>
    <n v="12.681003584229391"/>
  </r>
  <r>
    <s v="NAMS"/>
    <s v="NAMS"/>
    <s v="NewAmsterdam Pharma Co. NV"/>
    <x v="8"/>
    <n v="2834"/>
    <s v="PHARMACEUTICAL PREPARATIONS"/>
    <d v="2022-11-23T00:00:00"/>
    <d v="2022-11-23T00:00:00"/>
    <b v="0"/>
    <n v="42.204999999999998"/>
    <d v="2026-05-11T00:00:00"/>
    <n v="5.6326000000000001"/>
    <d v="2023-10-26T00:00:00"/>
    <n v="35.17"/>
    <d v="2026-07-01T00:00:00"/>
    <n v="902"/>
    <s v="ok"/>
    <x v="0"/>
    <n v="6.4929872527784687"/>
  </r>
  <r>
    <s v="AVDX^25"/>
    <s v="AVDX"/>
    <s v="AvidXchange Holdings, Inc."/>
    <x v="2"/>
    <n v="7372"/>
    <s v="SERVICES-PREPACKAGED SOFTWARE"/>
    <d v="2021-10-13T00:00:00"/>
    <d v="2021-10-13T00:00:00"/>
    <b v="0"/>
    <n v="27.434999999999999"/>
    <d v="2021-11-19T00:00:00"/>
    <n v="5.86"/>
    <d v="2022-06-30T00:00:00"/>
    <n v="10"/>
    <d v="2025-10-14T00:00:00"/>
    <n v="1005"/>
    <s v="ok"/>
    <x v="1"/>
    <n v="3.6817406143344709"/>
  </r>
  <r>
    <s v="PACS"/>
    <s v="PACS"/>
    <s v="PACS Group, Inc."/>
    <x v="8"/>
    <n v="8051"/>
    <s v="SERVICES-SKILLED NURSING CARE FACILITIES"/>
    <d v="2024-04-11T00:00:00"/>
    <d v="2024-04-11T00:00:00"/>
    <b v="0"/>
    <n v="45.13"/>
    <d v="2026-07-01T00:00:00"/>
    <n v="7.5"/>
    <d v="2025-09-09T00:00:00"/>
    <n v="44.32"/>
    <d v="2026-07-01T00:00:00"/>
    <n v="557"/>
    <s v="ok"/>
    <x v="0"/>
    <n v="5.0173333333333341"/>
  </r>
  <r>
    <s v="COCO"/>
    <s v="COCO"/>
    <s v="The Vita Coco Co., Inc."/>
    <x v="7"/>
    <n v="2080"/>
    <s v="BEVERAGES"/>
    <d v="2021-10-21T00:00:00"/>
    <d v="2021-10-21T00:00:00"/>
    <b v="0"/>
    <n v="85.83"/>
    <d v="2026-06-18T00:00:00"/>
    <n v="7.39"/>
    <d v="2022-11-09T00:00:00"/>
    <n v="68.98"/>
    <d v="2026-07-01T00:00:00"/>
    <n v="1177"/>
    <s v="ok"/>
    <x v="0"/>
    <n v="10.614343707713125"/>
  </r>
  <r>
    <s v="MCW^26"/>
    <s v="MCW"/>
    <s v="Mister Car Wash, Inc."/>
    <x v="9"/>
    <n v="7500"/>
    <s v="SERVICES-AUTOMOTIVE REPAIR, SERVICES &amp; PARKING"/>
    <d v="2021-06-25T00:00:00"/>
    <d v="2021-07-02T00:00:00"/>
    <b v="1"/>
    <n v="24.489899999999999"/>
    <d v="2021-07-26T00:00:00"/>
    <n v="4.6100000000000003"/>
    <d v="2025-10-14T00:00:00"/>
    <n v="7.1"/>
    <d v="2026-05-18T00:00:00"/>
    <n v="1224"/>
    <s v="ok"/>
    <x v="1"/>
    <n v="4.3123427331887196"/>
  </r>
  <r>
    <s v="AEVA"/>
    <s v="AEVA"/>
    <s v="Aeva Technologies, Inc."/>
    <x v="2"/>
    <n v="3714"/>
    <s v="MOTOR VEHICLE PARTS &amp; ACCESSORIES"/>
    <d v="2021-03-15T00:00:00"/>
    <d v="2021-07-02T00:00:00"/>
    <b v="1"/>
    <n v="57.4"/>
    <d v="2021-07-12T00:00:00"/>
    <n v="2.2006999999999999"/>
    <d v="2024-07-05T00:00:00"/>
    <n v="27.8"/>
    <d v="2026-07-01T00:00:00"/>
    <n v="1254"/>
    <s v="ok"/>
    <x v="1"/>
    <n v="25.082610078611353"/>
  </r>
  <r>
    <s v="ZIM"/>
    <s v="ZIM"/>
    <s v="ZIM Integrated Shipping Services Ltd."/>
    <x v="3"/>
    <m/>
    <m/>
    <d v="2021-01-28T00:00:00"/>
    <d v="2021-07-02T00:00:00"/>
    <b v="1"/>
    <n v="91.23"/>
    <d v="2022-03-17T00:00:00"/>
    <n v="6.39"/>
    <d v="2023-11-28T00:00:00"/>
    <n v="25.23"/>
    <d v="2026-07-01T00:00:00"/>
    <n v="1254"/>
    <s v="ok"/>
    <x v="1"/>
    <n v="13.27699530516432"/>
  </r>
  <r>
    <s v="CGON"/>
    <s v="CGON"/>
    <s v="CG Oncology, Inc."/>
    <x v="8"/>
    <n v="2836"/>
    <s v="BIOLOGICAL PRODUCTS, (NO DIAGNOSTIC SUBSTANCES)"/>
    <d v="2024-01-25T00:00:00"/>
    <d v="2024-01-25T00:00:00"/>
    <b v="0"/>
    <n v="77"/>
    <d v="2026-06-30T00:00:00"/>
    <n v="14.8"/>
    <d v="2025-04-09T00:00:00"/>
    <n v="70.89"/>
    <d v="2026-07-01T00:00:00"/>
    <n v="610"/>
    <s v="ok"/>
    <x v="0"/>
    <n v="4.2027027027027026"/>
  </r>
  <r>
    <s v="CTRI"/>
    <s v="CTRI"/>
    <s v="Centuri Holdings, Inc."/>
    <x v="3"/>
    <n v="4923"/>
    <s v="NATURAL GAS TRANSMISSION &amp; DISTRIBUTION"/>
    <d v="2024-04-18T00:00:00"/>
    <d v="2024-04-18T00:00:00"/>
    <b v="0"/>
    <n v="42.984999999999999"/>
    <d v="2026-05-06T00:00:00"/>
    <n v="14.455"/>
    <d v="2025-04-04T00:00:00"/>
    <n v="28.49"/>
    <d v="2026-07-01T00:00:00"/>
    <n v="552"/>
    <s v="ok"/>
    <x v="0"/>
    <n v="1.9737115185057075"/>
  </r>
  <r>
    <s v="RXRX"/>
    <s v="RXRX"/>
    <s v="Recursion Pharmaceuticals, Inc."/>
    <x v="8"/>
    <n v="2836"/>
    <s v="BIOLOGICAL PRODUCTS, (NO DIAGNOSTIC SUBSTANCES)"/>
    <d v="2021-04-16T00:00:00"/>
    <d v="2021-07-02T00:00:00"/>
    <b v="1"/>
    <n v="42.81"/>
    <d v="2021-07-13T00:00:00"/>
    <n v="2.77"/>
    <d v="2026-05-19T00:00:00"/>
    <n v="3.67"/>
    <d v="2026-07-01T00:00:00"/>
    <n v="1254"/>
    <s v="ok"/>
    <x v="1"/>
    <n v="14.454873646209386"/>
  </r>
  <r>
    <s v="MSGE"/>
    <s v="MSGE"/>
    <s v="Madison Square Garden Entertainment Corp."/>
    <x v="4"/>
    <n v="7990"/>
    <s v="SERVICES-MISCELLANEOUS AMUSEMENT &amp; RECREATION"/>
    <d v="2023-04-17T00:00:00"/>
    <d v="2023-04-17T00:00:00"/>
    <b v="0"/>
    <n v="82.79"/>
    <d v="2026-07-01T00:00:00"/>
    <n v="27.55"/>
    <d v="2023-11-07T00:00:00"/>
    <n v="79.48"/>
    <d v="2026-07-01T00:00:00"/>
    <n v="805"/>
    <s v="ok"/>
    <x v="0"/>
    <n v="2.0050816696914704"/>
  </r>
  <r>
    <s v="NN"/>
    <s v="NN"/>
    <s v="NextNav, Inc."/>
    <x v="2"/>
    <n v="3812"/>
    <s v="SEARCH, DETECTION, NAVIGATION, GUIDANCE, AERONAUTICAL SYS"/>
    <d v="2021-10-29T00:00:00"/>
    <d v="2021-10-29T00:00:00"/>
    <b v="0"/>
    <n v="24.42"/>
    <d v="2026-06-04T00:00:00"/>
    <n v="1.59"/>
    <d v="2023-03-24T00:00:00"/>
    <n v="17.75"/>
    <d v="2026-07-01T00:00:00"/>
    <n v="1171"/>
    <s v="ok"/>
    <x v="0"/>
    <n v="14.358490566037736"/>
  </r>
  <r>
    <s v="LUNR"/>
    <s v="LUNR"/>
    <s v="Intuitive Machines, Inc."/>
    <x v="3"/>
    <n v="3812"/>
    <s v="SEARCH, DETECTION, NAVIGATION, GUIDANCE, AERONAUTICAL SYS"/>
    <d v="2023-02-14T00:00:00"/>
    <d v="2023-02-14T00:00:00"/>
    <b v="0"/>
    <n v="136"/>
    <d v="2023-02-22T00:00:00"/>
    <n v="2.0893999999999999"/>
    <d v="2024-01-04T00:00:00"/>
    <n v="20.2"/>
    <d v="2026-07-01T00:00:00"/>
    <n v="847"/>
    <s v="ok"/>
    <x v="1"/>
    <n v="64.090456590408721"/>
  </r>
  <r>
    <s v="ENVX"/>
    <s v="ENVX"/>
    <s v="Enovix Corp."/>
    <x v="7"/>
    <n v="3690"/>
    <s v="MISCELLANEOUS ELECTRICAL MACHINERY, EQUIPMENT &amp; SUPPLIES"/>
    <d v="2021-07-15T00:00:00"/>
    <d v="2021-07-15T00:00:00"/>
    <b v="0"/>
    <n v="34.545000000000002"/>
    <d v="2021-11-22T00:00:00"/>
    <n v="4.6113"/>
    <d v="2025-04-08T00:00:00"/>
    <n v="5.85"/>
    <d v="2026-07-01T00:00:00"/>
    <n v="1246"/>
    <s v="ok"/>
    <x v="1"/>
    <n v="6.491379871186"/>
  </r>
  <r>
    <s v="IHS"/>
    <s v="IHS"/>
    <s v="IHS Holding Ltd."/>
    <x v="11"/>
    <m/>
    <m/>
    <d v="2021-10-14T00:00:00"/>
    <d v="2021-10-14T00:00:00"/>
    <b v="0"/>
    <n v="18.48"/>
    <d v="2021-10-14T00:00:00"/>
    <n v="2.1800000000000002"/>
    <d v="2024-03-12T00:00:00"/>
    <n v="8.1999999999999993"/>
    <d v="2026-07-01T00:00:00"/>
    <n v="1182"/>
    <s v="ok"/>
    <x v="1"/>
    <n v="7.477064220183486"/>
  </r>
  <r>
    <s v="IRON"/>
    <s v="IRON"/>
    <s v="Disc Medicine, Inc."/>
    <x v="8"/>
    <n v="2834"/>
    <s v="PHARMACEUTICAL PREPARATIONS"/>
    <d v="2021-02-08T00:00:00"/>
    <d v="2022-12-30T00:00:00"/>
    <b v="1"/>
    <n v="99.5"/>
    <d v="2025-12-08T00:00:00"/>
    <n v="15"/>
    <d v="2022-12-30T00:00:00"/>
    <n v="74.95"/>
    <d v="2026-07-01T00:00:00"/>
    <n v="877"/>
    <s v="ok"/>
    <x v="0"/>
    <n v="5.6333333333333337"/>
  </r>
  <r>
    <s v="CERT"/>
    <s v="CERT"/>
    <s v="Certara, Inc."/>
    <x v="8"/>
    <n v="7372"/>
    <s v="SERVICES-PREPACKAGED SOFTWARE"/>
    <d v="2020-12-11T00:00:00"/>
    <d v="2021-07-02T00:00:00"/>
    <b v="1"/>
    <n v="45.48"/>
    <d v="2021-11-04T00:00:00"/>
    <n v="4.45"/>
    <d v="2026-05-15T00:00:00"/>
    <n v="6.73"/>
    <d v="2026-07-01T00:00:00"/>
    <n v="1254"/>
    <s v="ok"/>
    <x v="1"/>
    <n v="9.2202247191011217"/>
  </r>
  <r>
    <s v="HRMY"/>
    <s v="HRMY"/>
    <s v="Harmony Biosciences Holdings, Inc."/>
    <x v="8"/>
    <n v="2834"/>
    <s v="PHARMACEUTICAL PREPARATIONS"/>
    <d v="2020-08-19T00:00:00"/>
    <d v="2021-07-02T00:00:00"/>
    <b v="1"/>
    <n v="62.085000000000001"/>
    <d v="2022-12-05T00:00:00"/>
    <n v="18.6112"/>
    <d v="2023-10-13T00:00:00"/>
    <n v="36"/>
    <d v="2026-07-01T00:00:00"/>
    <n v="1254"/>
    <s v="ok"/>
    <x v="1"/>
    <n v="2.3358945151306738"/>
  </r>
  <r>
    <s v="PLGO"/>
    <s v="PLGO"/>
    <s v="Pelagos Insurance Capital Ltd."/>
    <x v="6"/>
    <m/>
    <m/>
    <d v="2023-06-29T00:00:00"/>
    <d v="2026-05-12T00:00:00"/>
    <b v="1"/>
    <n v="25.138000000000002"/>
    <d v="2026-07-01T00:00:00"/>
    <n v="20"/>
    <d v="2026-05-12T00:00:00"/>
    <n v="24.98"/>
    <d v="2026-07-01T00:00:00"/>
    <n v="35"/>
    <s v="ok"/>
    <x v="0"/>
    <n v="0.25690000000000007"/>
  </r>
  <r>
    <s v="PL"/>
    <s v="PL"/>
    <s v="Planet Labs PBC"/>
    <x v="2"/>
    <n v="3663"/>
    <s v="RADIO &amp; TV BROADCASTING &amp; COMMUNICATIONS EQUIPMENT"/>
    <d v="2021-12-08T00:00:00"/>
    <d v="2021-12-08T00:00:00"/>
    <b v="0"/>
    <n v="51.76"/>
    <d v="2026-05-28T00:00:00"/>
    <n v="1.67"/>
    <d v="2024-04-30T00:00:00"/>
    <n v="31.61"/>
    <d v="2026-07-01T00:00:00"/>
    <n v="1144"/>
    <s v="ok"/>
    <x v="0"/>
    <n v="29.994011976047904"/>
  </r>
  <r>
    <s v="PHIN"/>
    <s v="PHIN"/>
    <s v="PHINIA, Inc."/>
    <x v="3"/>
    <n v="3714"/>
    <s v="MOTOR VEHICLE PARTS &amp; ACCESSORIES"/>
    <d v="2023-06-28T00:00:00"/>
    <d v="2023-07-05T00:00:00"/>
    <b v="1"/>
    <n v="86.935000000000002"/>
    <d v="2026-06-15T00:00:00"/>
    <n v="23.46"/>
    <d v="2023-11-13T00:00:00"/>
    <n v="78.14"/>
    <d v="2026-07-01T00:00:00"/>
    <n v="751"/>
    <s v="ok"/>
    <x v="0"/>
    <n v="2.7056692242114235"/>
  </r>
  <r>
    <s v="SPRY"/>
    <s v="SPRY"/>
    <s v="ARS Pharmaceuticals, Inc."/>
    <x v="8"/>
    <n v="2834"/>
    <s v="PHARMACEUTICAL PREPARATIONS"/>
    <d v="2022-11-09T00:00:00"/>
    <d v="2022-11-09T00:00:00"/>
    <b v="0"/>
    <n v="18.899999999999999"/>
    <d v="2025-06-27T00:00:00"/>
    <n v="2.5499999999999998"/>
    <d v="2023-09-20T00:00:00"/>
    <n v="7.94"/>
    <d v="2026-07-01T00:00:00"/>
    <n v="911"/>
    <s v="ok"/>
    <x v="0"/>
    <n v="6.4117647058823524"/>
  </r>
  <r>
    <s v="CNTA^26"/>
    <s v="CNTA"/>
    <s v="Centessa Pharmaceuticals Plc"/>
    <x v="8"/>
    <n v="2834"/>
    <s v="PHARMACEUTICAL PREPARATIONS"/>
    <d v="2021-05-28T00:00:00"/>
    <d v="2021-07-02T00:00:00"/>
    <b v="1"/>
    <n v="40.56"/>
    <d v="2026-06-23T00:00:00"/>
    <n v="2.8849999999999998"/>
    <d v="2022-06-03T00:00:00"/>
    <n v="40.5"/>
    <d v="2026-06-23T00:00:00"/>
    <n v="1248"/>
    <s v="ok"/>
    <x v="0"/>
    <n v="13.058925476603122"/>
  </r>
  <r>
    <s v="VITL"/>
    <s v="VITL"/>
    <s v="Vital Farms, Inc."/>
    <x v="7"/>
    <n v="2000"/>
    <s v="FOOD AND KINDRED PRODUCTS"/>
    <d v="2020-07-31T00:00:00"/>
    <d v="2021-07-02T00:00:00"/>
    <b v="1"/>
    <n v="53.125"/>
    <d v="2025-08-27T00:00:00"/>
    <n v="7.89"/>
    <d v="2022-06-29T00:00:00"/>
    <n v="12.31"/>
    <d v="2026-07-01T00:00:00"/>
    <n v="1254"/>
    <s v="ok"/>
    <x v="0"/>
    <n v="5.7332065906210392"/>
  </r>
  <r>
    <s v="PWP"/>
    <s v="PWP"/>
    <s v="Perella Weinberg Partners"/>
    <x v="6"/>
    <n v="6199"/>
    <s v="FINANCE SERVICES"/>
    <d v="2021-06-25T00:00:00"/>
    <d v="2021-07-02T00:00:00"/>
    <b v="1"/>
    <n v="27.03"/>
    <d v="2025-01-22T00:00:00"/>
    <n v="5.47"/>
    <d v="2022-07-11T00:00:00"/>
    <n v="16.13"/>
    <d v="2026-07-01T00:00:00"/>
    <n v="1254"/>
    <s v="ok"/>
    <x v="0"/>
    <n v="3.9414990859232182"/>
  </r>
  <r>
    <s v="GRAL"/>
    <s v="GRAL"/>
    <s v="GRAIL, Inc."/>
    <x v="8"/>
    <n v="8071"/>
    <s v="SERVICES-MEDICAL LABORATORIES"/>
    <d v="2024-06-12T00:00:00"/>
    <d v="2024-06-25T00:00:00"/>
    <b v="1"/>
    <n v="118.84"/>
    <d v="2026-01-22T00:00:00"/>
    <n v="12.33"/>
    <d v="2024-10-07T00:00:00"/>
    <n v="68.11"/>
    <d v="2026-07-01T00:00:00"/>
    <n v="506"/>
    <s v="ok"/>
    <x v="0"/>
    <n v="8.6382806163828061"/>
  </r>
  <r>
    <s v="MSDL"/>
    <s v="MSDL"/>
    <s v="Morgan Stanley Direct Lending Fund"/>
    <x v="6"/>
    <m/>
    <m/>
    <d v="2024-01-24T00:00:00"/>
    <d v="2024-01-24T00:00:00"/>
    <b v="0"/>
    <n v="24.18"/>
    <d v="2024-06-21T00:00:00"/>
    <n v="13.66"/>
    <d v="2026-04-02T00:00:00"/>
    <n v="15.25"/>
    <d v="2026-07-01T00:00:00"/>
    <n v="611"/>
    <s v="ok"/>
    <x v="1"/>
    <n v="0.77013177159590041"/>
  </r>
  <r>
    <s v="XMTR"/>
    <s v="XMTR"/>
    <s v="Xometry, Inc."/>
    <x v="2"/>
    <n v="7389"/>
    <s v="SERVICES-BUSINESS SERVICES, NEC"/>
    <d v="2021-06-30T00:00:00"/>
    <d v="2021-07-02T00:00:00"/>
    <b v="1"/>
    <n v="99.859899999999996"/>
    <d v="2026-06-01T00:00:00"/>
    <n v="11.08"/>
    <d v="2024-07-01T00:00:00"/>
    <n v="95.78"/>
    <d v="2026-07-01T00:00:00"/>
    <n v="1254"/>
    <s v="ok"/>
    <x v="0"/>
    <n v="8.0126263537906137"/>
  </r>
  <r>
    <s v="BBAI"/>
    <s v="BBAI"/>
    <s v="BigBear.ai Holdings, Inc."/>
    <x v="3"/>
    <n v="7372"/>
    <s v="SERVICES-PREPACKAGED SOFTWARE"/>
    <d v="2021-12-08T00:00:00"/>
    <d v="2021-12-08T00:00:00"/>
    <b v="0"/>
    <n v="16.12"/>
    <d v="2022-04-06T00:00:00"/>
    <n v="0.57999999999999996"/>
    <d v="2022-12-30T00:00:00"/>
    <n v="3.64"/>
    <d v="2026-07-01T00:00:00"/>
    <n v="1144"/>
    <s v="ok"/>
    <x v="1"/>
    <n v="26.793103448275865"/>
  </r>
  <r>
    <s v="TARS"/>
    <s v="TARS"/>
    <s v="Tarsus Pharmaceuticals, Inc."/>
    <x v="8"/>
    <n v="2836"/>
    <s v="BIOLOGICAL PRODUCTS, (NO DIAGNOSTIC SUBSTANCES)"/>
    <d v="2020-10-16T00:00:00"/>
    <d v="2021-07-02T00:00:00"/>
    <b v="1"/>
    <n v="85.25"/>
    <d v="2025-12-09T00:00:00"/>
    <n v="10.8001"/>
    <d v="2022-05-09T00:00:00"/>
    <n v="60.89"/>
    <d v="2026-07-01T00:00:00"/>
    <n v="1254"/>
    <s v="ok"/>
    <x v="0"/>
    <n v="6.8934454310608233"/>
  </r>
  <r>
    <s v="SVV"/>
    <s v="SVV"/>
    <s v="Savers Value Village, Inc."/>
    <x v="7"/>
    <n v="5900"/>
    <s v="RETAIL-MISCELLANEOUS RETAIL"/>
    <d v="2023-06-29T00:00:00"/>
    <d v="2023-06-29T00:00:00"/>
    <b v="0"/>
    <n v="26.88"/>
    <d v="2023-08-24T00:00:00"/>
    <n v="6.48"/>
    <d v="2025-03-11T00:00:00"/>
    <n v="10.01"/>
    <d v="2026-07-01T00:00:00"/>
    <n v="754"/>
    <s v="ok"/>
    <x v="1"/>
    <n v="3.1481481481481479"/>
  </r>
  <r>
    <s v="WS"/>
    <s v="WS"/>
    <s v="Worthington Steel, Inc."/>
    <x v="10"/>
    <n v="3310"/>
    <s v="STEEL WORKS, BLAST FURNACES &amp; ROLLING &amp; FINISHING MILLS"/>
    <d v="2023-11-28T00:00:00"/>
    <d v="2023-12-01T00:00:00"/>
    <b v="1"/>
    <n v="49.17"/>
    <d v="2026-02-11T00:00:00"/>
    <n v="21"/>
    <d v="2023-12-04T00:00:00"/>
    <n v="32.14"/>
    <d v="2026-07-01T00:00:00"/>
    <n v="646"/>
    <s v="ok"/>
    <x v="0"/>
    <n v="1.3414285714285714"/>
  </r>
  <r>
    <s v="SDRL"/>
    <s v="SDRL"/>
    <s v="Seadrill Ltd."/>
    <x v="1"/>
    <n v="1381"/>
    <s v="DRILLING OIL &amp; GAS WELLS"/>
    <d v="2022-06-02T00:00:00"/>
    <d v="2022-10-14T00:00:00"/>
    <b v="1"/>
    <n v="56.46"/>
    <d v="2024-07-26T00:00:00"/>
    <n v="17.739999999999998"/>
    <d v="2025-04-09T00:00:00"/>
    <n v="38.85"/>
    <d v="2026-07-01T00:00:00"/>
    <n v="930"/>
    <s v="ok"/>
    <x v="1"/>
    <n v="2.1826381059751974"/>
  </r>
  <r>
    <s v="PGY"/>
    <s v="PGY"/>
    <s v="Pagaya Technologies Ltd."/>
    <x v="6"/>
    <n v="6199"/>
    <s v="FINANCE SERVICES"/>
    <d v="2022-06-23T00:00:00"/>
    <d v="2022-06-23T00:00:00"/>
    <b v="0"/>
    <n v="414"/>
    <d v="2022-08-02T00:00:00"/>
    <n v="6.8411999999999997"/>
    <d v="2022-12-16T00:00:00"/>
    <n v="18.77"/>
    <d v="2026-07-01T00:00:00"/>
    <n v="1009"/>
    <s v="ok"/>
    <x v="1"/>
    <n v="59.51569900017541"/>
  </r>
  <r>
    <s v="AESI"/>
    <s v="AESI"/>
    <s v="Atlas Energy Solutions, Inc."/>
    <x v="1"/>
    <n v="1311"/>
    <s v="CRUDE PETROLEUM &amp; NATURAL GAS"/>
    <d v="2023-03-09T00:00:00"/>
    <d v="2023-03-09T00:00:00"/>
    <b v="0"/>
    <n v="26.86"/>
    <d v="2025-01-28T00:00:00"/>
    <n v="7.6417000000000002"/>
    <d v="2025-11-24T00:00:00"/>
    <n v="15.62"/>
    <d v="2026-07-01T00:00:00"/>
    <n v="831"/>
    <s v="ok"/>
    <x v="1"/>
    <n v="2.5149246895324335"/>
  </r>
  <r>
    <s v="AMPL"/>
    <s v="AMPL"/>
    <s v="Amplitude, Inc."/>
    <x v="2"/>
    <n v="7372"/>
    <s v="SERVICES-PREPACKAGED SOFTWARE"/>
    <d v="2021-09-28T00:00:00"/>
    <d v="2021-09-28T00:00:00"/>
    <b v="0"/>
    <n v="87.98"/>
    <d v="2021-11-04T00:00:00"/>
    <n v="5.51"/>
    <d v="2026-04-13T00:00:00"/>
    <n v="8.5500000000000007"/>
    <d v="2026-07-01T00:00:00"/>
    <n v="1194"/>
    <s v="ok"/>
    <x v="1"/>
    <n v="14.967332123411978"/>
  </r>
  <r>
    <s v="SG"/>
    <s v="SG"/>
    <s v="Sweetgreen, Inc."/>
    <x v="4"/>
    <n v="5812"/>
    <s v="RETAIL-EATING PLACES"/>
    <d v="2021-11-18T00:00:00"/>
    <d v="2021-11-18T00:00:00"/>
    <b v="0"/>
    <n v="56.2"/>
    <d v="2021-11-18T00:00:00"/>
    <n v="4.49"/>
    <d v="2026-03-30T00:00:00"/>
    <n v="9.1"/>
    <d v="2026-07-01T00:00:00"/>
    <n v="1157"/>
    <s v="ok"/>
    <x v="1"/>
    <n v="11.516703786191536"/>
  </r>
  <r>
    <s v="IMCR"/>
    <s v="IMCR"/>
    <s v="Immunocore Holdings plc"/>
    <x v="8"/>
    <n v="2836"/>
    <s v="BIOLOGICAL PRODUCTS, (NO DIAGNOSTIC SUBSTANCES)"/>
    <d v="2021-02-05T00:00:00"/>
    <d v="2021-07-02T00:00:00"/>
    <b v="1"/>
    <n v="76.98"/>
    <d v="2024-02-01T00:00:00"/>
    <n v="18.43"/>
    <d v="2022-01-21T00:00:00"/>
    <n v="31.65"/>
    <d v="2026-07-01T00:00:00"/>
    <n v="1254"/>
    <s v="ok"/>
    <x v="0"/>
    <n v="3.1768855127509497"/>
  </r>
  <r>
    <s v="LZ"/>
    <s v="LZ"/>
    <s v="LegalZoom.com, Inc."/>
    <x v="7"/>
    <n v="7374"/>
    <s v="SERVICES-COMPUTER PROCESSING &amp; DATA PREPARATION"/>
    <d v="2021-06-30T00:00:00"/>
    <d v="2021-07-02T00:00:00"/>
    <b v="1"/>
    <n v="40.94"/>
    <d v="2021-07-02T00:00:00"/>
    <n v="5.22"/>
    <d v="2026-06-22T00:00:00"/>
    <n v="6.55"/>
    <d v="2026-07-01T00:00:00"/>
    <n v="1254"/>
    <s v="ok"/>
    <x v="1"/>
    <n v="6.842911877394636"/>
  </r>
  <r>
    <s v="VSXY"/>
    <s v="VSXY"/>
    <s v="Victoria's Secret &amp; Co."/>
    <x v="9"/>
    <n v="5621"/>
    <s v="RETAIL-WOMEN'S CLOTHING STORES"/>
    <d v="2021-07-21T00:00:00"/>
    <d v="2026-06-02T00:00:00"/>
    <b v="1"/>
    <n v="88.57"/>
    <d v="2026-06-26T00:00:00"/>
    <n v="72"/>
    <d v="2026-06-03T00:00:00"/>
    <n v="77.709999999999994"/>
    <d v="2026-07-01T00:00:00"/>
    <n v="21"/>
    <s v="ok"/>
    <x v="0"/>
    <n v="0.23013888888888878"/>
  </r>
  <r>
    <s v="NABL"/>
    <s v="NABL"/>
    <s v="N-able, Inc."/>
    <x v="2"/>
    <n v="7372"/>
    <s v="SERVICES-PREPACKAGED SOFTWARE"/>
    <d v="2021-07-09T00:00:00"/>
    <d v="2021-07-20T00:00:00"/>
    <b v="1"/>
    <n v="15.85"/>
    <d v="2021-07-20T00:00:00"/>
    <n v="2.92"/>
    <d v="2026-06-18T00:00:00"/>
    <n v="3.92"/>
    <d v="2026-07-01T00:00:00"/>
    <n v="1243"/>
    <s v="ok"/>
    <x v="1"/>
    <n v="4.4280821917808222"/>
  </r>
  <r>
    <s v="GPGI"/>
    <s v="GPGI"/>
    <s v="GPGI, Inc."/>
    <x v="0"/>
    <n v="6199"/>
    <s v="FINANCE SERVICES"/>
    <d v="2021-12-28T00:00:00"/>
    <d v="2026-01-23T00:00:00"/>
    <b v="1"/>
    <n v="25.93"/>
    <d v="2026-01-23T00:00:00"/>
    <n v="11.22"/>
    <d v="2026-06-10T00:00:00"/>
    <n v="16.63"/>
    <d v="2026-07-01T00:00:00"/>
    <n v="110"/>
    <s v="ok"/>
    <x v="1"/>
    <n v="1.3110516934046343"/>
  </r>
  <r>
    <s v="OLO^25"/>
    <s v="OLO"/>
    <s v="Olo, Inc."/>
    <x v="4"/>
    <n v="7389"/>
    <s v="SERVICES-BUSINESS SERVICES, NEC"/>
    <d v="2021-03-17T00:00:00"/>
    <d v="2021-07-02T00:00:00"/>
    <b v="1"/>
    <n v="49"/>
    <d v="2021-08-27T00:00:00"/>
    <n v="4.2"/>
    <d v="2024-07-10T00:00:00"/>
    <n v="10.26"/>
    <d v="2025-09-11T00:00:00"/>
    <n v="1053"/>
    <s v="ok"/>
    <x v="1"/>
    <n v="10.666666666666666"/>
  </r>
  <r>
    <s v="NNE"/>
    <s v="NNE"/>
    <s v="NANO Nuclear Energy, Inc."/>
    <x v="3"/>
    <n v="4911"/>
    <s v="ELECTRIC SERVICES"/>
    <d v="2024-05-08T00:00:00"/>
    <d v="2024-05-08T00:00:00"/>
    <b v="0"/>
    <n v="60.87"/>
    <d v="2025-10-15T00:00:00"/>
    <n v="3.25"/>
    <d v="2024-05-14T00:00:00"/>
    <n v="20.75"/>
    <d v="2026-07-01T00:00:00"/>
    <n v="538"/>
    <s v="ok"/>
    <x v="0"/>
    <n v="17.729230769230767"/>
  </r>
  <r>
    <s v="FLYW"/>
    <s v="FLYW"/>
    <s v="Flywire Corp."/>
    <x v="6"/>
    <n v="7389"/>
    <s v="SERVICES-BUSINESS SERVICES, NEC"/>
    <d v="2021-05-26T00:00:00"/>
    <d v="2021-07-02T00:00:00"/>
    <b v="1"/>
    <n v="57.41"/>
    <d v="2021-10-14T00:00:00"/>
    <n v="8.1999999999999993"/>
    <d v="2025-04-11T00:00:00"/>
    <n v="18.559999999999999"/>
    <d v="2026-07-01T00:00:00"/>
    <n v="1254"/>
    <s v="ok"/>
    <x v="1"/>
    <n v="6.0012195121951217"/>
  </r>
  <r>
    <s v="BHVN"/>
    <s v="BHVN"/>
    <s v="Biohaven Ltd."/>
    <x v="8"/>
    <n v="2834"/>
    <s v="PHARMACEUTICAL PREPARATIONS"/>
    <d v="2022-09-23T00:00:00"/>
    <d v="2022-09-23T00:00:00"/>
    <b v="0"/>
    <n v="152.56"/>
    <d v="2022-09-27T00:00:00"/>
    <n v="7.1"/>
    <d v="2022-10-04T00:00:00"/>
    <n v="15.76"/>
    <d v="2026-07-01T00:00:00"/>
    <n v="945"/>
    <s v="ok"/>
    <x v="1"/>
    <n v="20.487323943661973"/>
  </r>
  <r>
    <s v="VERA"/>
    <s v="VERA"/>
    <s v="Vera Therapeutics, Inc."/>
    <x v="8"/>
    <n v="2834"/>
    <s v="PHARMACEUTICAL PREPARATIONS"/>
    <d v="2021-05-14T00:00:00"/>
    <d v="2021-07-02T00:00:00"/>
    <b v="1"/>
    <n v="56.05"/>
    <d v="2025-12-24T00:00:00"/>
    <n v="5.2"/>
    <d v="2023-01-06T00:00:00"/>
    <n v="42.66"/>
    <d v="2026-07-01T00:00:00"/>
    <n v="1254"/>
    <s v="ok"/>
    <x v="0"/>
    <n v="9.7788461538461533"/>
  </r>
  <r>
    <s v="HLMN"/>
    <s v="HLMN"/>
    <s v="Hillman Solutions Corp."/>
    <x v="10"/>
    <n v="3420"/>
    <s v="CUTLERY, HANDTOOLS &amp; GENERAL HARDWARE"/>
    <d v="2021-07-15T00:00:00"/>
    <d v="2021-07-15T00:00:00"/>
    <b v="0"/>
    <n v="13.46"/>
    <d v="2021-08-13T00:00:00"/>
    <n v="6.02"/>
    <d v="2023-11-08T00:00:00"/>
    <n v="8.14"/>
    <d v="2026-07-01T00:00:00"/>
    <n v="1246"/>
    <s v="ok"/>
    <x v="1"/>
    <n v="1.2358803986710967"/>
  </r>
  <r>
    <s v="EWTX"/>
    <s v="EWTX"/>
    <s v="Edgewise Therapeutics, Inc."/>
    <x v="8"/>
    <n v="2834"/>
    <s v="PHARMACEUTICAL PREPARATIONS"/>
    <d v="2021-03-26T00:00:00"/>
    <d v="2021-07-02T00:00:00"/>
    <b v="1"/>
    <n v="43.93"/>
    <d v="2026-06-25T00:00:00"/>
    <n v="5.12"/>
    <d v="2023-11-10T00:00:00"/>
    <n v="39.15"/>
    <d v="2026-07-01T00:00:00"/>
    <n v="1254"/>
    <s v="ok"/>
    <x v="0"/>
    <n v="7.580078125"/>
  </r>
  <r>
    <s v="NTST"/>
    <s v="NTST"/>
    <s v="NetSTREIT Corp."/>
    <x v="6"/>
    <n v="6798"/>
    <s v="REAL ESTATE INVESTMENT TRUSTS"/>
    <d v="2020-08-13T00:00:00"/>
    <d v="2021-07-02T00:00:00"/>
    <b v="1"/>
    <n v="26.925000000000001"/>
    <d v="2021-08-05T00:00:00"/>
    <n v="13.42"/>
    <d v="2025-01-10T00:00:00"/>
    <n v="21.08"/>
    <d v="2026-07-01T00:00:00"/>
    <n v="1254"/>
    <s v="ok"/>
    <x v="1"/>
    <n v="1.0063338301043219"/>
  </r>
  <r>
    <s v="SILA"/>
    <s v="SILA"/>
    <s v="Sila Realty Trust, Inc."/>
    <x v="6"/>
    <n v="6798"/>
    <s v="REAL ESTATE INVESTMENT TRUSTS"/>
    <d v="2020-08-04T00:00:00"/>
    <d v="2024-06-13T00:00:00"/>
    <b v="1"/>
    <n v="30.629899999999999"/>
    <d v="2026-05-06T00:00:00"/>
    <n v="20.2"/>
    <d v="2024-06-13T00:00:00"/>
    <n v="30.36"/>
    <d v="2026-06-30T00:00:00"/>
    <n v="512"/>
    <s v="ok"/>
    <x v="0"/>
    <n v="0.5163316831683169"/>
  </r>
  <r>
    <s v="KLG^25"/>
    <s v="KLG"/>
    <s v="WK Kellogg Co."/>
    <x v="7"/>
    <n v="2040"/>
    <s v="GRAIN MILL PRODUCTS"/>
    <d v="2023-09-27T00:00:00"/>
    <d v="2023-10-02T00:00:00"/>
    <b v="1"/>
    <n v="24.629000000000001"/>
    <d v="2024-04-24T00:00:00"/>
    <n v="9.6549999999999994"/>
    <d v="2023-10-12T00:00:00"/>
    <n v="23"/>
    <d v="2025-09-25T00:00:00"/>
    <n v="498"/>
    <s v="ok"/>
    <x v="0"/>
    <n v="1.5509062661833251"/>
  </r>
  <r>
    <s v="COUR"/>
    <s v="COUR"/>
    <s v="Coursera, Inc."/>
    <x v="7"/>
    <n v="7372"/>
    <s v="SERVICES-PREPACKAGED SOFTWARE"/>
    <d v="2021-03-31T00:00:00"/>
    <d v="2021-07-02T00:00:00"/>
    <b v="1"/>
    <n v="43.78"/>
    <d v="2021-08-04T00:00:00"/>
    <n v="5"/>
    <d v="2026-04-24T00:00:00"/>
    <n v="5.98"/>
    <d v="2026-07-01T00:00:00"/>
    <n v="1254"/>
    <s v="ok"/>
    <x v="1"/>
    <n v="7.7560000000000002"/>
  </r>
  <r>
    <s v="MBC"/>
    <s v="MBC"/>
    <s v="MasterBrand, Inc."/>
    <x v="9"/>
    <n v="2511"/>
    <s v="WOOD HOUSEHOLD FURNITURE, (NO UPHOLSTERED)"/>
    <d v="2022-12-09T00:00:00"/>
    <d v="2022-12-15T00:00:00"/>
    <b v="1"/>
    <n v="20.67"/>
    <d v="2024-11-06T00:00:00"/>
    <n v="6.6050000000000004"/>
    <d v="2026-05-19T00:00:00"/>
    <n v="9.98"/>
    <d v="2026-07-01T00:00:00"/>
    <n v="887"/>
    <s v="ok"/>
    <x v="1"/>
    <n v="2.129447388342165"/>
  </r>
  <r>
    <s v="GRDN"/>
    <s v="GRDN"/>
    <s v="Guardian Pharmacy Services, Inc."/>
    <x v="8"/>
    <n v="5912"/>
    <s v="RETAIL-DRUG STORES AND PROPRIETARY STORES"/>
    <d v="2024-09-26T00:00:00"/>
    <d v="2024-09-26T00:00:00"/>
    <b v="0"/>
    <n v="44"/>
    <d v="2026-06-18T00:00:00"/>
    <n v="14.16"/>
    <d v="2024-09-26T00:00:00"/>
    <n v="42.13"/>
    <d v="2026-07-01T00:00:00"/>
    <n v="441"/>
    <s v="ok"/>
    <x v="0"/>
    <n v="2.1073446327683616"/>
  </r>
  <r>
    <s v="JANX"/>
    <s v="JANX"/>
    <s v="Janux Therapeutics, Inc."/>
    <x v="8"/>
    <n v="2834"/>
    <s v="PHARMACEUTICAL PREPARATIONS"/>
    <d v="2021-06-11T00:00:00"/>
    <d v="2021-07-02T00:00:00"/>
    <b v="1"/>
    <n v="71.709999999999994"/>
    <d v="2024-12-05T00:00:00"/>
    <n v="5.65"/>
    <d v="2023-11-10T00:00:00"/>
    <n v="14.66"/>
    <d v="2026-07-01T00:00:00"/>
    <n v="1254"/>
    <s v="ok"/>
    <x v="0"/>
    <n v="11.692035398230086"/>
  </r>
  <r>
    <s v="DOLE"/>
    <s v="DOLE"/>
    <s v="Dole plc"/>
    <x v="7"/>
    <n v="100"/>
    <m/>
    <d v="2021-07-30T00:00:00"/>
    <d v="2021-07-30T00:00:00"/>
    <b v="0"/>
    <n v="17.66"/>
    <d v="2021-09-30T00:00:00"/>
    <n v="7.2"/>
    <d v="2022-10-03T00:00:00"/>
    <n v="13.73"/>
    <d v="2026-07-01T00:00:00"/>
    <n v="1235"/>
    <s v="ok"/>
    <x v="1"/>
    <n v="1.4527777777777779"/>
  </r>
  <r>
    <s v="SEMR^26"/>
    <s v="SEMR"/>
    <s v="SEMrush Holdings, Inc."/>
    <x v="2"/>
    <n v="7372"/>
    <s v="SERVICES-PREPACKAGED SOFTWARE"/>
    <d v="2021-03-25T00:00:00"/>
    <d v="2021-07-02T00:00:00"/>
    <b v="1"/>
    <n v="32.478999999999999"/>
    <d v="2021-09-10T00:00:00"/>
    <n v="6.5579999999999998"/>
    <d v="2025-11-06T00:00:00"/>
    <n v="12"/>
    <d v="2026-04-27T00:00:00"/>
    <n v="1209"/>
    <s v="ok"/>
    <x v="1"/>
    <n v="3.9525770051845073"/>
  </r>
  <r>
    <s v="CDRE"/>
    <s v="CDRE"/>
    <s v="Cadre Holdings, Inc."/>
    <x v="3"/>
    <n v="3842"/>
    <s v="ORTHOPEDIC, PROSTHETIC &amp; SURGICAL APPLIANCES &amp; SUPPLIES"/>
    <d v="2021-11-04T00:00:00"/>
    <d v="2021-11-04T00:00:00"/>
    <b v="0"/>
    <n v="48.759900000000002"/>
    <d v="2026-03-05T00:00:00"/>
    <n v="14.16"/>
    <d v="2021-11-04T00:00:00"/>
    <n v="28.61"/>
    <d v="2026-07-01T00:00:00"/>
    <n v="1167"/>
    <s v="ok"/>
    <x v="0"/>
    <n v="2.4434957627118647"/>
  </r>
  <r>
    <s v="ACDC"/>
    <s v="ACDC"/>
    <s v="ProFrac Holding Corp."/>
    <x v="1"/>
    <n v="1389"/>
    <s v="OIL &amp; GAS FIELD SERVICES, NEC"/>
    <d v="2022-05-13T00:00:00"/>
    <d v="2022-11-02T00:00:00"/>
    <b v="1"/>
    <n v="27"/>
    <d v="2022-11-11T00:00:00"/>
    <n v="3.08"/>
    <d v="2025-11-25T00:00:00"/>
    <n v="5.49"/>
    <d v="2026-07-01T00:00:00"/>
    <n v="917"/>
    <s v="ok"/>
    <x v="1"/>
    <n v="7.7662337662337668"/>
  </r>
  <r>
    <s v="OUST"/>
    <s v="OUST"/>
    <s v="Ouster, Inc."/>
    <x v="3"/>
    <n v="3569"/>
    <s v="GENERAL INDUSTRIAL MACHINERY &amp; EQUIPMENT, NEC"/>
    <d v="2021-03-12T00:00:00"/>
    <d v="2021-07-02T00:00:00"/>
    <b v="1"/>
    <n v="125.8"/>
    <d v="2021-07-12T00:00:00"/>
    <n v="3.21"/>
    <d v="2023-04-26T00:00:00"/>
    <n v="60.02"/>
    <d v="2026-07-01T00:00:00"/>
    <n v="1254"/>
    <s v="ok"/>
    <x v="1"/>
    <n v="38.190031152647975"/>
  </r>
  <r>
    <s v="BASE^25"/>
    <s v="BASE"/>
    <s v="Couchbase, Inc."/>
    <x v="2"/>
    <n v="7372"/>
    <s v="SERVICES-PREPACKAGED SOFTWARE"/>
    <d v="2021-07-22T00:00:00"/>
    <d v="2021-07-22T00:00:00"/>
    <b v="0"/>
    <n v="52.26"/>
    <d v="2021-08-31T00:00:00"/>
    <n v="10.19"/>
    <d v="2022-11-07T00:00:00"/>
    <n v="24.51"/>
    <d v="2025-09-23T00:00:00"/>
    <n v="1048"/>
    <s v="ok"/>
    <x v="1"/>
    <n v="4.1285574092247304"/>
  </r>
  <r>
    <s v="IAS^25"/>
    <s v="IAS"/>
    <s v="Integral Ad Science Holding Corp."/>
    <x v="4"/>
    <n v="7370"/>
    <s v="SERVICES-COMPUTER PROGRAMMING, DATA PROCESSING, ETC."/>
    <d v="2021-06-30T00:00:00"/>
    <d v="2021-07-02T00:00:00"/>
    <b v="1"/>
    <n v="29.68"/>
    <d v="2021-11-11T00:00:00"/>
    <n v="6.2610999999999999"/>
    <d v="2025-04-21T00:00:00"/>
    <n v="10.34"/>
    <d v="2025-12-22T00:00:00"/>
    <n v="1124"/>
    <s v="ok"/>
    <x v="1"/>
    <n v="3.7403810831962438"/>
  </r>
  <r>
    <s v="NVTS"/>
    <s v="NVTS"/>
    <s v="Navitas Semiconductor Corp."/>
    <x v="2"/>
    <n v="3674"/>
    <s v="SEMICONDUCTORS &amp; RELATED DEVICES"/>
    <d v="2021-01-25T00:00:00"/>
    <d v="2021-10-20T00:00:00"/>
    <b v="1"/>
    <n v="34.17"/>
    <d v="2026-06-03T00:00:00"/>
    <n v="1.52"/>
    <d v="2025-04-04T00:00:00"/>
    <n v="16.53"/>
    <d v="2026-07-01T00:00:00"/>
    <n v="1178"/>
    <s v="ok"/>
    <x v="0"/>
    <n v="21.480263157894736"/>
  </r>
  <r>
    <s v="TIC"/>
    <s v="TIC"/>
    <s v="TIC Solutions, Inc."/>
    <x v="0"/>
    <n v="7389"/>
    <s v="SERVICES-BUSINESS SERVICES, NEC"/>
    <d v="2023-10-12T00:00:00"/>
    <d v="2025-02-18T00:00:00"/>
    <b v="1"/>
    <n v="14.9442"/>
    <d v="2025-09-29T00:00:00"/>
    <n v="6.36"/>
    <d v="2026-03-31T00:00:00"/>
    <n v="8"/>
    <d v="2026-07-01T00:00:00"/>
    <n v="344"/>
    <s v="ok"/>
    <x v="1"/>
    <n v="1.3497169811320753"/>
  </r>
  <r>
    <s v="IE"/>
    <s v="IE"/>
    <s v="Ivanhoe Electric, Inc."/>
    <x v="2"/>
    <n v="1000"/>
    <s v="METAL MINING"/>
    <d v="2022-06-28T00:00:00"/>
    <d v="2022-06-28T00:00:00"/>
    <b v="0"/>
    <n v="21.55"/>
    <d v="2026-01-29T00:00:00"/>
    <n v="4.5"/>
    <d v="2025-04-04T00:00:00"/>
    <n v="9.42"/>
    <d v="2026-07-01T00:00:00"/>
    <n v="1006"/>
    <s v="ok"/>
    <x v="0"/>
    <n v="3.7888888888888892"/>
  </r>
  <r>
    <s v="OPFI"/>
    <s v="OPFI"/>
    <s v="OppFi, Inc."/>
    <x v="6"/>
    <n v="6199"/>
    <s v="FINANCE SERVICES"/>
    <d v="2021-07-21T00:00:00"/>
    <d v="2021-07-21T00:00:00"/>
    <b v="0"/>
    <n v="17.728100000000001"/>
    <d v="2025-02-07T00:00:00"/>
    <n v="1.7"/>
    <d v="2023-03-17T00:00:00"/>
    <n v="10.01"/>
    <d v="2026-07-01T00:00:00"/>
    <n v="1242"/>
    <s v="ok"/>
    <x v="0"/>
    <n v="9.4282941176470594"/>
  </r>
  <r>
    <s v="MLNK^25"/>
    <s v="MLNK"/>
    <s v="MeridianLink, Inc."/>
    <x v="6"/>
    <n v="7372"/>
    <s v="SERVICES-PREPACKAGED SOFTWARE"/>
    <d v="2021-07-28T00:00:00"/>
    <d v="2021-07-28T00:00:00"/>
    <b v="0"/>
    <n v="29"/>
    <d v="2021-09-07T00:00:00"/>
    <n v="12.49"/>
    <d v="2022-11-08T00:00:00"/>
    <n v="20.010000000000002"/>
    <d v="2025-10-23T00:00:00"/>
    <n v="1066"/>
    <s v="ok"/>
    <x v="1"/>
    <n v="1.3218574859887908"/>
  </r>
  <r>
    <s v="ARHS"/>
    <s v="ARHS"/>
    <s v="Arhaus, Inc."/>
    <x v="9"/>
    <n v="5712"/>
    <s v="RETAIL-FURNITURE STORES"/>
    <d v="2021-11-04T00:00:00"/>
    <d v="2021-11-04T00:00:00"/>
    <b v="0"/>
    <n v="19.809999999999999"/>
    <d v="2024-06-07T00:00:00"/>
    <n v="4.2300000000000004"/>
    <d v="2022-07-05T00:00:00"/>
    <n v="8.59"/>
    <d v="2026-07-01T00:00:00"/>
    <n v="1167"/>
    <s v="ok"/>
    <x v="0"/>
    <n v="3.68321513002364"/>
  </r>
  <r>
    <s v="BOW"/>
    <s v="BOW"/>
    <s v="Bowhead Specialty Holdings, Inc."/>
    <x v="6"/>
    <n v="6331"/>
    <s v="FIRE, MARINE &amp; CASUALTY INSURANCE"/>
    <d v="2024-05-23T00:00:00"/>
    <d v="2024-05-23T00:00:00"/>
    <b v="0"/>
    <n v="42.29"/>
    <d v="2025-03-28T00:00:00"/>
    <n v="21.21"/>
    <d v="2026-03-20T00:00:00"/>
    <n v="31.2"/>
    <d v="2026-07-01T00:00:00"/>
    <n v="527"/>
    <s v="ok"/>
    <x v="1"/>
    <n v="0.99387081565299373"/>
  </r>
  <r>
    <s v="PRCH"/>
    <s v="PRCH"/>
    <s v="Porch Group, Inc."/>
    <x v="6"/>
    <n v="7372"/>
    <s v="SERVICES-PREPACKAGED SOFTWARE"/>
    <d v="2020-12-24T00:00:00"/>
    <d v="2021-07-02T00:00:00"/>
    <b v="1"/>
    <n v="27.5"/>
    <d v="2021-11-16T00:00:00"/>
    <n v="0.495"/>
    <d v="2023-10-25T00:00:00"/>
    <n v="15.98"/>
    <d v="2026-07-01T00:00:00"/>
    <n v="1254"/>
    <s v="ok"/>
    <x v="1"/>
    <n v="54.555555555555557"/>
  </r>
  <r>
    <s v="CVAC^26"/>
    <s v="CVAC"/>
    <s v="CureVac NV"/>
    <x v="8"/>
    <m/>
    <m/>
    <d v="2020-08-14T00:00:00"/>
    <d v="2021-07-02T00:00:00"/>
    <b v="1"/>
    <n v="75.680000000000007"/>
    <d v="2021-08-26T00:00:00"/>
    <n v="2.2149999999999999"/>
    <d v="2024-04-25T00:00:00"/>
    <n v="4.66"/>
    <d v="2026-01-05T00:00:00"/>
    <n v="1132"/>
    <s v="ok"/>
    <x v="1"/>
    <n v="33.167042889390522"/>
  </r>
  <r>
    <s v="GPCR"/>
    <s v="GPCR"/>
    <s v="Structure Therapeutics, Inc."/>
    <x v="8"/>
    <n v="2834"/>
    <s v="PHARMACEUTICAL PREPARATIONS"/>
    <d v="2023-02-03T00:00:00"/>
    <d v="2023-02-03T00:00:00"/>
    <b v="0"/>
    <n v="94.9"/>
    <d v="2025-12-08T00:00:00"/>
    <n v="13.22"/>
    <d v="2025-04-09T00:00:00"/>
    <n v="52.12"/>
    <d v="2026-07-01T00:00:00"/>
    <n v="854"/>
    <s v="ok"/>
    <x v="0"/>
    <n v="6.1785173978819969"/>
  </r>
  <r>
    <s v="DEC"/>
    <s v="DEC"/>
    <s v="Diversified Energy Co."/>
    <x v="1"/>
    <n v="1311"/>
    <s v="CRUDE PETROLEUM &amp; NATURAL GAS"/>
    <d v="2018-10-16T00:00:00"/>
    <d v="2023-12-18T00:00:00"/>
    <b v="1"/>
    <n v="18.899999999999999"/>
    <d v="2026-03-31T00:00:00"/>
    <n v="10.08"/>
    <d v="2025-04-09T00:00:00"/>
    <n v="13.57"/>
    <d v="2026-07-01T00:00:00"/>
    <n v="635"/>
    <s v="ok"/>
    <x v="0"/>
    <n v="0.87499999999999989"/>
  </r>
  <r>
    <s v="JAMF^26"/>
    <s v="JAMF"/>
    <s v="Jamf Holding Corp."/>
    <x v="2"/>
    <n v="7372"/>
    <s v="SERVICES-PREPACKAGED SOFTWARE"/>
    <d v="2020-07-22T00:00:00"/>
    <d v="2021-07-02T00:00:00"/>
    <b v="1"/>
    <n v="49.27"/>
    <d v="2021-11-08T00:00:00"/>
    <n v="7.085"/>
    <d v="2025-08-07T00:00:00"/>
    <n v="13.05"/>
    <d v="2026-01-29T00:00:00"/>
    <n v="1149"/>
    <s v="ok"/>
    <x v="1"/>
    <n v="5.954128440366973"/>
  </r>
  <r>
    <s v="VTEX"/>
    <s v="VTEX"/>
    <s v="VTEX (Cayman Islands)"/>
    <x v="2"/>
    <m/>
    <m/>
    <d v="2021-07-21T00:00:00"/>
    <d v="2021-07-21T00:00:00"/>
    <b v="0"/>
    <n v="33.36"/>
    <d v="2021-08-10T00:00:00"/>
    <n v="2.66"/>
    <d v="2022-07-14T00:00:00"/>
    <n v="4.18"/>
    <d v="2026-07-01T00:00:00"/>
    <n v="1242"/>
    <s v="ok"/>
    <x v="1"/>
    <n v="11.541353383458645"/>
  </r>
  <r>
    <s v="KLC"/>
    <s v="KLC"/>
    <s v="KinderCare Learning Cos., Inc."/>
    <x v="7"/>
    <n v="8351"/>
    <s v="SERVICES-CHILD DAY CARE SERVICES"/>
    <d v="2024-10-09T00:00:00"/>
    <d v="2024-10-09T00:00:00"/>
    <b v="0"/>
    <n v="29.89"/>
    <d v="2024-10-31T00:00:00"/>
    <n v="1.75"/>
    <d v="2026-03-16T00:00:00"/>
    <n v="4.8"/>
    <d v="2026-07-01T00:00:00"/>
    <n v="432"/>
    <s v="ok"/>
    <x v="1"/>
    <n v="16.080000000000002"/>
  </r>
  <r>
    <s v="JBI"/>
    <s v="JBI"/>
    <s v="Janus International Group, Inc."/>
    <x v="9"/>
    <n v="3442"/>
    <s v="METAL DOORS, SASH, FRAMES, MOLDINGS &amp; TRIM"/>
    <d v="2021-06-08T00:00:00"/>
    <d v="2021-07-02T00:00:00"/>
    <b v="1"/>
    <n v="15.94"/>
    <d v="2021-09-03T00:00:00"/>
    <n v="4.26"/>
    <d v="2026-05-12T00:00:00"/>
    <n v="5.42"/>
    <d v="2026-07-01T00:00:00"/>
    <n v="1254"/>
    <s v="ok"/>
    <x v="1"/>
    <n v="2.7417840375586855"/>
  </r>
  <r>
    <s v="BBT"/>
    <s v="BBT"/>
    <s v="Beacon Financial Corp."/>
    <x v="6"/>
    <n v="6036"/>
    <s v="SAVINGS INSTITUTIONS, NOT FEDERALLY CHARTERED"/>
    <d v="1998-03-25T00:00:00"/>
    <d v="2025-09-02T00:00:00"/>
    <b v="1"/>
    <n v="32.83"/>
    <d v="2026-04-17T00:00:00"/>
    <n v="22.81"/>
    <d v="2025-10-30T00:00:00"/>
    <n v="30.86"/>
    <d v="2026-07-01T00:00:00"/>
    <n v="209"/>
    <s v="ok"/>
    <x v="0"/>
    <n v="0.43928101709776413"/>
  </r>
  <r>
    <s v="RPC"/>
    <s v="RPC"/>
    <s v="Ridgepost Capital, Inc."/>
    <x v="6"/>
    <n v="6282"/>
    <s v="INVESTMENT ADVICE"/>
    <d v="2021-10-21T00:00:00"/>
    <d v="2026-02-11T00:00:00"/>
    <b v="1"/>
    <n v="11.29"/>
    <d v="2026-02-11T00:00:00"/>
    <n v="6.79"/>
    <d v="2026-04-02T00:00:00"/>
    <n v="7.86"/>
    <d v="2026-07-01T00:00:00"/>
    <n v="97"/>
    <s v="ok"/>
    <x v="1"/>
    <n v="0.66273932253313683"/>
  </r>
  <r>
    <s v="FLNC"/>
    <s v="FLNC"/>
    <s v="Fluence Energy, Inc."/>
    <x v="3"/>
    <n v="3690"/>
    <s v="MISCELLANEOUS ELECTRICAL MACHINERY, EQUIPMENT &amp; SUPPLIES"/>
    <d v="2021-10-28T00:00:00"/>
    <d v="2021-10-28T00:00:00"/>
    <b v="0"/>
    <n v="39.4"/>
    <d v="2021-11-15T00:00:00"/>
    <n v="3.46"/>
    <d v="2025-04-21T00:00:00"/>
    <n v="18.36"/>
    <d v="2026-07-01T00:00:00"/>
    <n v="1172"/>
    <s v="ok"/>
    <x v="1"/>
    <n v="10.38728323699422"/>
  </r>
  <r>
    <s v="YALA"/>
    <s v="YALA"/>
    <s v="Yalla Group Ltd."/>
    <x v="2"/>
    <m/>
    <m/>
    <d v="2020-09-30T00:00:00"/>
    <d v="2021-07-02T00:00:00"/>
    <b v="1"/>
    <n v="18.899999999999999"/>
    <d v="2021-07-02T00:00:00"/>
    <n v="3"/>
    <d v="2022-10-25T00:00:00"/>
    <n v="5.6"/>
    <d v="2026-07-01T00:00:00"/>
    <n v="1254"/>
    <s v="ok"/>
    <x v="1"/>
    <n v="5.3"/>
  </r>
  <r>
    <s v="IBTA"/>
    <s v="IBTA"/>
    <s v="Ibotta, Inc."/>
    <x v="2"/>
    <n v="7310"/>
    <s v="SERVICES-ADVERTISING"/>
    <d v="2024-04-18T00:00:00"/>
    <d v="2024-04-18T00:00:00"/>
    <b v="0"/>
    <n v="117.59"/>
    <d v="2024-04-18T00:00:00"/>
    <n v="19.100000000000001"/>
    <d v="2026-02-05T00:00:00"/>
    <n v="35.909999999999997"/>
    <d v="2026-07-01T00:00:00"/>
    <n v="552"/>
    <s v="ok"/>
    <x v="1"/>
    <n v="5.156544502617801"/>
  </r>
  <r>
    <s v="DYN"/>
    <s v="DYN"/>
    <s v="Dyne Therapeutics, Inc."/>
    <x v="8"/>
    <n v="2834"/>
    <s v="PHARMACEUTICAL PREPARATIONS"/>
    <d v="2020-09-17T00:00:00"/>
    <d v="2021-07-02T00:00:00"/>
    <b v="1"/>
    <n v="47.45"/>
    <d v="2024-08-20T00:00:00"/>
    <n v="4.3"/>
    <d v="2022-06-02T00:00:00"/>
    <n v="21.79"/>
    <d v="2026-07-01T00:00:00"/>
    <n v="1254"/>
    <s v="ok"/>
    <x v="0"/>
    <n v="10.034883720930234"/>
  </r>
  <r>
    <s v="UDMY^26"/>
    <s v="UDMY"/>
    <s v="Udemy, Inc."/>
    <x v="2"/>
    <n v="8200"/>
    <s v="SERVICES-EDUCATIONAL SERVICES"/>
    <d v="2021-10-29T00:00:00"/>
    <d v="2021-10-29T00:00:00"/>
    <b v="0"/>
    <n v="32.619999999999997"/>
    <d v="2021-11-19T00:00:00"/>
    <n v="4.0199999999999996"/>
    <d v="2026-04-24T00:00:00"/>
    <n v="4.63"/>
    <d v="2026-05-08T00:00:00"/>
    <n v="1135"/>
    <s v="ok"/>
    <x v="1"/>
    <n v="7.1144278606965177"/>
  </r>
  <r>
    <s v="EVLV"/>
    <s v="EVLV"/>
    <s v="Evolv Technologies Holdings, Inc."/>
    <x v="2"/>
    <n v="3577"/>
    <s v="COMPUTER PERIPHERAL EQUIPMENT, NEC"/>
    <d v="2021-07-19T00:00:00"/>
    <d v="2021-07-19T00:00:00"/>
    <b v="0"/>
    <n v="12.9"/>
    <d v="2021-07-19T00:00:00"/>
    <n v="1.57"/>
    <d v="2022-03-15T00:00:00"/>
    <n v="6.37"/>
    <d v="2026-07-01T00:00:00"/>
    <n v="1244"/>
    <s v="ok"/>
    <x v="1"/>
    <n v="7.2165605095541396"/>
  </r>
  <r>
    <s v="USAR"/>
    <s v="USAR"/>
    <s v="USA Rare Earth, Inc."/>
    <x v="10"/>
    <n v="1000"/>
    <s v="METAL MINING"/>
    <d v="2025-03-14T00:00:00"/>
    <d v="2025-03-14T00:00:00"/>
    <b v="0"/>
    <n v="43.98"/>
    <d v="2025-10-13T00:00:00"/>
    <n v="5.56"/>
    <d v="2025-03-27T00:00:00"/>
    <n v="19.98"/>
    <d v="2026-07-01T00:00:00"/>
    <n v="326"/>
    <s v="ok"/>
    <x v="0"/>
    <n v="6.9100719424460424"/>
  </r>
  <r>
    <s v="VERV^25"/>
    <s v="VERV"/>
    <s v="Verve Therapeutics, Inc."/>
    <x v="8"/>
    <n v="2834"/>
    <s v="PHARMACEUTICAL PREPARATIONS"/>
    <d v="2021-06-17T00:00:00"/>
    <d v="2021-07-02T00:00:00"/>
    <b v="1"/>
    <n v="78"/>
    <d v="2021-09-07T00:00:00"/>
    <n v="2.8647"/>
    <d v="2025-04-09T00:00:00"/>
    <n v="11.13"/>
    <d v="2025-07-24T00:00:00"/>
    <n v="1019"/>
    <s v="ok"/>
    <x v="1"/>
    <n v="26.227981987642686"/>
  </r>
  <r>
    <m/>
    <m/>
    <m/>
    <x v="12"/>
    <m/>
    <m/>
    <m/>
    <m/>
    <m/>
    <m/>
    <m/>
    <m/>
    <m/>
    <m/>
    <m/>
    <m/>
    <m/>
    <x v="2"/>
    <m/>
  </r>
  <r>
    <m/>
    <m/>
    <m/>
    <x v="12"/>
    <m/>
    <m/>
    <m/>
    <m/>
    <m/>
    <m/>
    <m/>
    <m/>
    <m/>
    <m/>
    <m/>
    <m/>
    <m/>
    <x v="2"/>
    <m/>
  </r>
  <r>
    <m/>
    <m/>
    <m/>
    <x v="12"/>
    <m/>
    <m/>
    <m/>
    <m/>
    <m/>
    <m/>
    <m/>
    <m/>
    <m/>
    <m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217ED-F960-4822-A22E-03D5E7563939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8" firstHeaderRow="1" firstDataRow="3" firstDataCol="1"/>
  <pivotFields count="19">
    <pivotField dataField="1" showAll="0"/>
    <pivotField showAll="0"/>
    <pivotField showAll="0"/>
    <pivotField axis="axisRow" showAll="0" sortType="descending">
      <items count="14">
        <item x="0"/>
        <item x="9"/>
        <item x="7"/>
        <item x="4"/>
        <item x="1"/>
        <item x="6"/>
        <item x="8"/>
        <item x="3"/>
        <item x="10"/>
        <item x="2"/>
        <item x="11"/>
        <item x="5"/>
        <item x="1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h="1" x="2"/>
        <item x="0"/>
        <item x="1"/>
        <item t="default"/>
      </items>
    </pivotField>
    <pivotField dataField="1" showAll="0"/>
  </pivotFields>
  <rowFields count="1">
    <field x="3"/>
  </rowFields>
  <rowItems count="13">
    <i>
      <x v="9"/>
    </i>
    <i>
      <x v="5"/>
    </i>
    <i>
      <x v="6"/>
    </i>
    <i>
      <x v="7"/>
    </i>
    <i>
      <x v="1"/>
    </i>
    <i>
      <x v="4"/>
    </i>
    <i>
      <x v="3"/>
    </i>
    <i>
      <x v="2"/>
    </i>
    <i>
      <x v="8"/>
    </i>
    <i>
      <x/>
    </i>
    <i>
      <x v="11"/>
    </i>
    <i>
      <x v="10"/>
    </i>
    <i t="grand">
      <x/>
    </i>
  </rowItems>
  <colFields count="2">
    <field x="17"/>
    <field x="-2"/>
  </colFields>
  <colItems count="6"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Average of X from lows" fld="18" subtotal="average" baseField="3" baseItem="4"/>
    <dataField name="Count of ticker" fld="0" subtotal="count" baseField="0" baseItem="0"/>
  </dataFields>
  <formats count="4">
    <format dxfId="30">
      <pivotArea outline="0" collapsedLevelsAreSubtotals="1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format>
    <format dxfId="28">
      <pivotArea field="17" type="button" dataOnly="0" labelOnly="1" outline="0" axis="axisCol" fieldPosition="0"/>
    </format>
    <format dxfId="26">
      <pivotArea dataOnly="0" labelOnly="1" fieldPosition="0">
        <references count="1">
          <reference field="17" count="1">
            <x v="1"/>
          </reference>
        </references>
      </pivotArea>
    </format>
    <format dxfId="24">
      <pivotArea dataOnly="0" labelOnly="1" outline="0" fieldPosition="0">
        <references count="2">
          <reference field="4294967294" count="1">
            <x v="0"/>
          </reference>
          <reference field="17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C4E33-9A63-4753-8C06-52CFD31137A8}" name="PivotTable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lygon_ipo_dry_run!$A:$S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98548E-2F06-4F8F-A382-B9F1BA7FFD92}" name="Table1" displayName="Table1" ref="A3:R143" totalsRowShown="0">
  <autoFilter ref="A3:R143" xr:uid="{6898548E-2F06-4F8F-A382-B9F1BA7FFD92}"/>
  <tableColumns count="18">
    <tableColumn id="1" xr3:uid="{F703C9F8-5AB3-4674-8F8C-6E9FBD3CE4B9}" name="ticker"/>
    <tableColumn id="2" xr3:uid="{BBA9A1CF-041A-4AF2-AD50-17CB2963C56A}" name="clean_ticker"/>
    <tableColumn id="3" xr3:uid="{DF70CAAB-8ADF-4CB4-8A01-AD091D0EE018}" name="name"/>
    <tableColumn id="4" xr3:uid="{89238672-8D85-472B-AC73-ACA20634A426}" name="sector"/>
    <tableColumn id="5" xr3:uid="{A1E9C8EA-27C2-486C-9293-F36BF0611722}" name="sic_code"/>
    <tableColumn id="6" xr3:uid="{237FE886-2395-495F-88DF-A1DCA768E7E8}" name="sic_description"/>
    <tableColumn id="7" xr3:uid="{FDA56F2B-EB98-4491-A90B-0501D2A50D6B}" name="ipo_date" dataDxfId="43"/>
    <tableColumn id="8" xr3:uid="{FB6B8F04-368F-491D-9062-7BA2E3E4C7A7}" name="data_start_date" dataDxfId="42"/>
    <tableColumn id="9" xr3:uid="{45C4DE16-E07F-40AA-B2B8-82E5E213D5F2}" name="data_incomplete"/>
    <tableColumn id="10" xr3:uid="{53A1577F-9508-469F-9099-95D310FE3342}" name="ath_price"/>
    <tableColumn id="11" xr3:uid="{E0CC579B-71A0-46FD-8A9D-4FB02F91A390}" name="ath_date" dataDxfId="41"/>
    <tableColumn id="12" xr3:uid="{60C86BE4-8C5D-4C05-853A-B1904F3C53D4}" name="atl_price"/>
    <tableColumn id="13" xr3:uid="{9DE96175-AC33-47E7-9AC8-25B1F8028596}" name="atl_date" dataDxfId="40"/>
    <tableColumn id="14" xr3:uid="{64818F05-580E-45DC-A634-5AEEB77FBC05}" name="last_close"/>
    <tableColumn id="15" xr3:uid="{D2081ED7-4B60-4783-A7FD-BA5D3B08C66B}" name="last_date" dataDxfId="39"/>
    <tableColumn id="16" xr3:uid="{3127021B-E378-483D-83E3-D2DE563241AA}" name="trading_days"/>
    <tableColumn id="17" xr3:uid="{E111DFBE-5BF2-4664-903F-A281FBBE9DE8}" name="status"/>
    <tableColumn id="18" xr3:uid="{2F4F1C08-925A-47A4-8253-C77D78C9CB36}" name="new low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258601-B264-4553-8CDF-BD745F1DB658}" name="Table2" displayName="Table2" ref="A3:S11" totalsRowShown="0">
  <autoFilter ref="A3:S11" xr:uid="{AE258601-B264-4553-8CDF-BD745F1DB658}"/>
  <tableColumns count="19">
    <tableColumn id="1" xr3:uid="{596AA19B-00BC-4B9C-939A-BE9991E3859A}" name="ticker"/>
    <tableColumn id="2" xr3:uid="{4ECCA1E4-76BD-433C-B1E0-C821218B9404}" name="clean_ticker"/>
    <tableColumn id="3" xr3:uid="{87371BD7-20BC-4F43-80E8-A3F41893EFB6}" name="name"/>
    <tableColumn id="4" xr3:uid="{B6D41486-925F-4567-8303-6EDBC561A5F5}" name="sector"/>
    <tableColumn id="5" xr3:uid="{0EDE791D-75BE-4C82-82A2-F4B4825DE55A}" name="sic_code"/>
    <tableColumn id="6" xr3:uid="{301CD307-39D6-4037-96CA-F2684C73CDB0}" name="sic_description"/>
    <tableColumn id="7" xr3:uid="{2BF973EB-FFC5-4FFC-95DC-6E043FC5F297}" name="ipo_date" dataDxfId="22"/>
    <tableColumn id="8" xr3:uid="{25F574B8-641B-41AA-9841-8EA65F42A982}" name="data_start_date" dataDxfId="21"/>
    <tableColumn id="9" xr3:uid="{9042E99D-9884-4E5A-93F8-031F36537373}" name="data_incomplete"/>
    <tableColumn id="10" xr3:uid="{3209291D-D37F-4519-862D-D4E30AE4B5EA}" name="ath_price"/>
    <tableColumn id="11" xr3:uid="{4F86C74F-0B4E-4F2F-BEA2-B3DE75E96315}" name="ath_date" dataDxfId="20"/>
    <tableColumn id="12" xr3:uid="{FAB1E7C3-BA16-4891-B658-B9371224E3BC}" name="atl_price"/>
    <tableColumn id="13" xr3:uid="{E978D3CC-334D-4EEE-91A0-39E5BD63AA43}" name="atl_date" dataDxfId="19"/>
    <tableColumn id="14" xr3:uid="{9E7297E8-141F-40F3-8A44-FB7188DA8805}" name="last_close"/>
    <tableColumn id="15" xr3:uid="{D35A238D-C0DC-4481-9F4E-BC5F49E13E24}" name="last_date" dataDxfId="18"/>
    <tableColumn id="16" xr3:uid="{33AAFF12-E58E-403A-A423-19886A463D61}" name="trading_days"/>
    <tableColumn id="17" xr3:uid="{7E9B8863-1613-4718-A9AD-C9AC2BBBACEA}" name="status"/>
    <tableColumn id="18" xr3:uid="{B9BC0046-85AF-4217-975F-511D15E06508}" name="new lows"/>
    <tableColumn id="19" xr3:uid="{37D330C7-D697-43D3-9558-39A1DA734735}" name="X from low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65EF49-45EA-46CF-9C21-166A12245BF1}" name="Table3" displayName="Table3" ref="A3:S5" totalsRowShown="0">
  <autoFilter ref="A3:S5" xr:uid="{8265EF49-45EA-46CF-9C21-166A12245BF1}"/>
  <tableColumns count="19">
    <tableColumn id="1" xr3:uid="{442EA7D8-772E-4E6D-970B-F87F7902AEE3}" name="ticker"/>
    <tableColumn id="2" xr3:uid="{433A3966-100B-4C33-8240-4EE5BE894395}" name="clean_ticker"/>
    <tableColumn id="3" xr3:uid="{A041C6D3-590E-45E2-91A3-B1FFF8063FCC}" name="name"/>
    <tableColumn id="4" xr3:uid="{BE63DF0A-A4AF-44D8-A994-6BF3351EC4BD}" name="sector"/>
    <tableColumn id="5" xr3:uid="{01875B3B-B1D1-4C74-B90E-C82449C11A9C}" name="sic_code"/>
    <tableColumn id="6" xr3:uid="{79F43802-EF58-4DCE-B246-61965B55D342}" name="sic_description"/>
    <tableColumn id="7" xr3:uid="{24F4B4FE-AE9F-43C8-8AC6-A4102A3B67A9}" name="ipo_date"/>
    <tableColumn id="8" xr3:uid="{FE51B414-4B72-432E-AE17-8DBCED09097D}" name="data_start_date"/>
    <tableColumn id="9" xr3:uid="{DC515B44-2EE2-4F43-9D11-22B590EDB302}" name="data_incomplete"/>
    <tableColumn id="10" xr3:uid="{3987BE5E-FC98-4904-975C-42FFB4D57D40}" name="ath_price"/>
    <tableColumn id="11" xr3:uid="{581E441E-15C3-42BD-B03F-06AEB603029C}" name="ath_date"/>
    <tableColumn id="12" xr3:uid="{EEB3C5C8-A107-4B08-94E6-871339535025}" name="atl_price"/>
    <tableColumn id="13" xr3:uid="{CA72C917-010F-495B-89BE-AC88C1CBD697}" name="atl_date"/>
    <tableColumn id="14" xr3:uid="{E69FB69A-4889-4427-903F-C5220828E489}" name="last_close"/>
    <tableColumn id="15" xr3:uid="{299D002D-D025-4603-AAA4-A1F5E472A027}" name="last_date"/>
    <tableColumn id="16" xr3:uid="{ACD6393D-900E-491F-AF2B-E1E84FD26EED}" name="trading_days"/>
    <tableColumn id="17" xr3:uid="{4A066715-B9C8-4668-AD72-D39B4E688CEA}" name="status"/>
    <tableColumn id="18" xr3:uid="{45C5D685-0992-45FF-93E5-114690AB4FB4}" name="new lows"/>
    <tableColumn id="19" xr3:uid="{B1E1DE0A-841D-47B3-9366-E70817E0AFE1}" name="X from low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30B65F-A958-4C1C-9FD3-3DE5ABD7EA31}" name="Table4" displayName="Table4" ref="A1:S324" totalsRowShown="0">
  <autoFilter ref="A1:S324" xr:uid="{8530B65F-A958-4C1C-9FD3-3DE5ABD7EA31}"/>
  <tableColumns count="19">
    <tableColumn id="1" xr3:uid="{AA993672-601B-4AA8-AA05-8F12BCA9A110}" name="ticker"/>
    <tableColumn id="2" xr3:uid="{36B9F9A4-FF80-46F3-B3E8-5DF97CB77D78}" name="clean_ticker"/>
    <tableColumn id="3" xr3:uid="{1AF58B0F-8024-45BF-9E5F-D71E61FA7B7B}" name="name"/>
    <tableColumn id="4" xr3:uid="{F61000BE-8351-422C-91B9-F157C5D12FA4}" name="sector"/>
    <tableColumn id="5" xr3:uid="{FA02E6A1-045E-4F22-8CD4-FA1BB13F15BE}" name="sic_code"/>
    <tableColumn id="6" xr3:uid="{B5D48743-DA65-4B75-93E2-B41F01CC7147}" name="sic_description"/>
    <tableColumn id="7" xr3:uid="{42A9F0EE-E8B7-4D30-9EB8-3CF51418E4AE}" name="ipo_date" dataDxfId="5"/>
    <tableColumn id="8" xr3:uid="{9D892C12-DCE9-4E1E-B6C3-3F14F3AE0DFB}" name="data_start_date" dataDxfId="4"/>
    <tableColumn id="9" xr3:uid="{8F49C780-C3FB-43F1-A851-C1C58ABAC22C}" name="data_incomplete"/>
    <tableColumn id="10" xr3:uid="{65BEA0AE-8724-46DE-B97E-68B329355F75}" name="ath_price"/>
    <tableColumn id="11" xr3:uid="{12D637E2-3182-4958-9F2A-07873247A4F0}" name="ath_date" dataDxfId="3"/>
    <tableColumn id="12" xr3:uid="{9940E8D7-71FD-4086-A0C9-2CA8C37BE4C3}" name="atl_price"/>
    <tableColumn id="13" xr3:uid="{399F2F4D-B2E3-43D3-A492-F348DA9572FA}" name="atl_date" dataDxfId="2"/>
    <tableColumn id="14" xr3:uid="{0503B6A3-7730-41E3-8820-209EF8600069}" name="last_close"/>
    <tableColumn id="15" xr3:uid="{C3FA22BD-2839-4CD9-8360-150C66DF54D8}" name="last_date" dataDxfId="1"/>
    <tableColumn id="16" xr3:uid="{AFA92987-EBBE-4D92-BCFB-31CB779311BA}" name="trading_days"/>
    <tableColumn id="17" xr3:uid="{14DD778B-5E68-4255-B117-98D6F11C4140}" name="status"/>
    <tableColumn id="18" xr3:uid="{BBA1A06C-6D38-4EA4-B909-FFCFE8888E32}" name="new lows">
      <calculatedColumnFormula>IF(K2&gt;M2,"has made new highs","has not made new highs")</calculatedColumnFormula>
    </tableColumn>
    <tableColumn id="19" xr3:uid="{BEF7ED0F-9849-4EC3-954F-F8458026F923}" name="X from lows" dataDxfId="0" dataCellStyle="Percent">
      <calculatedColumnFormula>(J2-L2)/L2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C812-6A4A-4A25-B73D-C8E4AAD22A10}">
  <dimension ref="A1:R143"/>
  <sheetViews>
    <sheetView topLeftCell="A4" workbookViewId="0">
      <selection activeCell="A3" sqref="A3:R143"/>
    </sheetView>
  </sheetViews>
  <sheetFormatPr defaultRowHeight="14.5" x14ac:dyDescent="0.35"/>
  <cols>
    <col min="1" max="1" width="9.1796875" bestFit="1" customWidth="1"/>
    <col min="2" max="2" width="13.36328125" bestFit="1" customWidth="1"/>
    <col min="3" max="3" width="32.7265625" bestFit="1" customWidth="1"/>
    <col min="4" max="4" width="21.08984375" bestFit="1" customWidth="1"/>
    <col min="5" max="5" width="10.453125" bestFit="1" customWidth="1"/>
    <col min="6" max="6" width="57" bestFit="1" customWidth="1"/>
    <col min="7" max="7" width="10.26953125" bestFit="1" customWidth="1"/>
    <col min="8" max="8" width="16.08984375" bestFit="1" customWidth="1"/>
    <col min="9" max="9" width="17.26953125" bestFit="1" customWidth="1"/>
    <col min="10" max="10" width="10.90625" bestFit="1" customWidth="1"/>
    <col min="11" max="12" width="10.36328125" bestFit="1" customWidth="1"/>
    <col min="13" max="13" width="10.08984375" bestFit="1" customWidth="1"/>
    <col min="14" max="14" width="11.453125" bestFit="1" customWidth="1"/>
    <col min="15" max="15" width="10.7265625" bestFit="1" customWidth="1"/>
    <col min="16" max="16" width="13.7265625" bestFit="1" customWidth="1"/>
    <col min="17" max="17" width="14.36328125" bestFit="1" customWidth="1"/>
    <col min="18" max="18" width="20.08984375" bestFit="1" customWidth="1"/>
  </cols>
  <sheetData>
    <row r="1" spans="1:18" x14ac:dyDescent="0.35">
      <c r="A1" s="14" t="s">
        <v>811</v>
      </c>
    </row>
    <row r="3" spans="1:1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805</v>
      </c>
    </row>
    <row r="4" spans="1:18" x14ac:dyDescent="0.35">
      <c r="A4" t="s">
        <v>745</v>
      </c>
      <c r="B4" t="s">
        <v>745</v>
      </c>
      <c r="C4" t="s">
        <v>746</v>
      </c>
      <c r="D4" t="s">
        <v>19</v>
      </c>
      <c r="E4">
        <v>7389</v>
      </c>
      <c r="F4" t="s">
        <v>38</v>
      </c>
      <c r="G4" s="1">
        <v>45211</v>
      </c>
      <c r="H4" s="1">
        <v>45706</v>
      </c>
      <c r="I4" t="b">
        <v>1</v>
      </c>
      <c r="J4">
        <v>14.9442</v>
      </c>
      <c r="K4" s="1">
        <v>45929</v>
      </c>
      <c r="L4">
        <v>6.36</v>
      </c>
      <c r="M4" s="1">
        <v>46112</v>
      </c>
      <c r="N4">
        <v>8</v>
      </c>
      <c r="O4" s="1">
        <v>46204</v>
      </c>
      <c r="P4">
        <v>344</v>
      </c>
      <c r="Q4" t="s">
        <v>21</v>
      </c>
      <c r="R4" t="s">
        <v>810</v>
      </c>
    </row>
    <row r="5" spans="1:18" x14ac:dyDescent="0.35">
      <c r="A5" t="s">
        <v>685</v>
      </c>
      <c r="B5" t="s">
        <v>685</v>
      </c>
      <c r="C5" t="s">
        <v>686</v>
      </c>
      <c r="D5" t="s">
        <v>19</v>
      </c>
      <c r="E5">
        <v>6199</v>
      </c>
      <c r="F5" t="s">
        <v>46</v>
      </c>
      <c r="G5" s="1">
        <v>44558</v>
      </c>
      <c r="H5" s="1">
        <v>46045</v>
      </c>
      <c r="I5" t="b">
        <v>1</v>
      </c>
      <c r="J5">
        <v>25.93</v>
      </c>
      <c r="K5" s="1">
        <v>46045</v>
      </c>
      <c r="L5">
        <v>11.22</v>
      </c>
      <c r="M5" s="1">
        <v>46183</v>
      </c>
      <c r="N5">
        <v>16.63</v>
      </c>
      <c r="O5" s="1">
        <v>46204</v>
      </c>
      <c r="P5">
        <v>110</v>
      </c>
      <c r="Q5" t="s">
        <v>21</v>
      </c>
      <c r="R5" t="s">
        <v>810</v>
      </c>
    </row>
    <row r="6" spans="1:18" x14ac:dyDescent="0.35">
      <c r="A6" t="s">
        <v>551</v>
      </c>
      <c r="B6" t="s">
        <v>551</v>
      </c>
      <c r="C6" t="s">
        <v>552</v>
      </c>
      <c r="D6" t="s">
        <v>19</v>
      </c>
      <c r="E6">
        <v>2821</v>
      </c>
      <c r="F6" t="s">
        <v>553</v>
      </c>
      <c r="G6" s="1">
        <v>44273</v>
      </c>
      <c r="H6" s="1">
        <v>44379</v>
      </c>
      <c r="I6" t="b">
        <v>1</v>
      </c>
      <c r="J6">
        <v>24.791799999999999</v>
      </c>
      <c r="K6" s="1">
        <v>44379</v>
      </c>
      <c r="L6">
        <v>2.3849999999999998</v>
      </c>
      <c r="M6" s="1">
        <v>45303</v>
      </c>
      <c r="N6">
        <v>8.01</v>
      </c>
      <c r="O6" s="1">
        <v>46204</v>
      </c>
      <c r="P6">
        <v>1254</v>
      </c>
      <c r="Q6" t="s">
        <v>21</v>
      </c>
      <c r="R6" t="s">
        <v>810</v>
      </c>
    </row>
    <row r="7" spans="1:18" x14ac:dyDescent="0.35">
      <c r="A7" t="s">
        <v>512</v>
      </c>
      <c r="B7" t="s">
        <v>512</v>
      </c>
      <c r="C7" t="s">
        <v>513</v>
      </c>
      <c r="D7" t="s">
        <v>19</v>
      </c>
      <c r="E7">
        <v>7374</v>
      </c>
      <c r="F7" t="s">
        <v>90</v>
      </c>
      <c r="G7" s="1">
        <v>44370</v>
      </c>
      <c r="H7" s="1">
        <v>44379</v>
      </c>
      <c r="I7" t="b">
        <v>1</v>
      </c>
      <c r="J7">
        <v>24.73</v>
      </c>
      <c r="K7" s="1">
        <v>44452</v>
      </c>
      <c r="L7">
        <v>8.82</v>
      </c>
      <c r="M7" s="1">
        <v>46077</v>
      </c>
      <c r="N7">
        <v>18.895</v>
      </c>
      <c r="O7" s="1">
        <v>46204</v>
      </c>
      <c r="P7">
        <v>1254</v>
      </c>
      <c r="Q7" t="s">
        <v>21</v>
      </c>
      <c r="R7" t="s">
        <v>810</v>
      </c>
    </row>
    <row r="8" spans="1:18" x14ac:dyDescent="0.35">
      <c r="A8" t="s">
        <v>776</v>
      </c>
      <c r="B8" t="s">
        <v>776</v>
      </c>
      <c r="C8" t="s">
        <v>777</v>
      </c>
      <c r="D8" t="s">
        <v>84</v>
      </c>
      <c r="E8">
        <v>3442</v>
      </c>
      <c r="F8" t="s">
        <v>778</v>
      </c>
      <c r="G8" s="1">
        <v>44355</v>
      </c>
      <c r="H8" s="1">
        <v>44379</v>
      </c>
      <c r="I8" t="b">
        <v>1</v>
      </c>
      <c r="J8">
        <v>15.94</v>
      </c>
      <c r="K8" s="1">
        <v>44442</v>
      </c>
      <c r="L8">
        <v>4.26</v>
      </c>
      <c r="M8" s="1">
        <v>46154</v>
      </c>
      <c r="N8">
        <v>5.42</v>
      </c>
      <c r="O8" s="1">
        <v>46204</v>
      </c>
      <c r="P8">
        <v>1254</v>
      </c>
      <c r="Q8" t="s">
        <v>21</v>
      </c>
      <c r="R8" t="s">
        <v>810</v>
      </c>
    </row>
    <row r="9" spans="1:18" x14ac:dyDescent="0.35">
      <c r="A9" t="s">
        <v>82</v>
      </c>
      <c r="B9" t="s">
        <v>82</v>
      </c>
      <c r="C9" t="s">
        <v>83</v>
      </c>
      <c r="D9" t="s">
        <v>84</v>
      </c>
      <c r="G9" s="1">
        <v>44042</v>
      </c>
      <c r="H9" s="1">
        <v>44379</v>
      </c>
      <c r="I9" t="b">
        <v>1</v>
      </c>
      <c r="J9">
        <v>47.33</v>
      </c>
      <c r="K9" s="1">
        <v>45145</v>
      </c>
      <c r="L9">
        <v>11.65</v>
      </c>
      <c r="M9" s="1">
        <v>46203</v>
      </c>
      <c r="N9">
        <v>12.23</v>
      </c>
      <c r="O9" s="1">
        <v>46204</v>
      </c>
      <c r="P9">
        <v>1254</v>
      </c>
      <c r="Q9" t="s">
        <v>21</v>
      </c>
      <c r="R9" t="s">
        <v>810</v>
      </c>
    </row>
    <row r="10" spans="1:18" x14ac:dyDescent="0.35">
      <c r="A10" t="s">
        <v>91</v>
      </c>
      <c r="B10" t="s">
        <v>91</v>
      </c>
      <c r="C10" t="s">
        <v>92</v>
      </c>
      <c r="D10" t="s">
        <v>84</v>
      </c>
      <c r="E10">
        <v>7374</v>
      </c>
      <c r="F10" t="s">
        <v>90</v>
      </c>
      <c r="G10" s="1">
        <v>44461</v>
      </c>
      <c r="H10" s="1">
        <v>44461</v>
      </c>
      <c r="I10" t="b">
        <v>0</v>
      </c>
      <c r="J10">
        <v>69.930000000000007</v>
      </c>
      <c r="K10" s="1">
        <v>44503</v>
      </c>
      <c r="L10">
        <v>11.91</v>
      </c>
      <c r="M10" s="1">
        <v>44693</v>
      </c>
      <c r="N10">
        <v>28.71</v>
      </c>
      <c r="O10" s="1">
        <v>46204</v>
      </c>
      <c r="P10">
        <v>1198</v>
      </c>
      <c r="Q10" t="s">
        <v>21</v>
      </c>
      <c r="R10" t="s">
        <v>810</v>
      </c>
    </row>
    <row r="11" spans="1:18" x14ac:dyDescent="0.35">
      <c r="A11" t="s">
        <v>713</v>
      </c>
      <c r="B11" t="s">
        <v>713</v>
      </c>
      <c r="C11" t="s">
        <v>714</v>
      </c>
      <c r="D11" t="s">
        <v>84</v>
      </c>
      <c r="E11">
        <v>2511</v>
      </c>
      <c r="F11" t="s">
        <v>715</v>
      </c>
      <c r="G11" s="1">
        <v>44904</v>
      </c>
      <c r="H11" s="1">
        <v>44910</v>
      </c>
      <c r="I11" t="b">
        <v>1</v>
      </c>
      <c r="J11">
        <v>20.67</v>
      </c>
      <c r="K11" s="1">
        <v>45602</v>
      </c>
      <c r="L11">
        <v>6.6050000000000004</v>
      </c>
      <c r="M11" s="1">
        <v>46161</v>
      </c>
      <c r="N11">
        <v>9.98</v>
      </c>
      <c r="O11" s="1">
        <v>46204</v>
      </c>
      <c r="P11">
        <v>887</v>
      </c>
      <c r="Q11" t="s">
        <v>21</v>
      </c>
      <c r="R11" t="s">
        <v>810</v>
      </c>
    </row>
    <row r="12" spans="1:18" x14ac:dyDescent="0.35">
      <c r="A12" t="s">
        <v>131</v>
      </c>
      <c r="B12" t="s">
        <v>131</v>
      </c>
      <c r="C12" t="s">
        <v>132</v>
      </c>
      <c r="D12" t="s">
        <v>84</v>
      </c>
      <c r="G12" s="1">
        <v>44070</v>
      </c>
      <c r="H12" s="1">
        <v>44379</v>
      </c>
      <c r="I12" t="b">
        <v>1</v>
      </c>
      <c r="J12">
        <v>56.45</v>
      </c>
      <c r="K12" s="1">
        <v>44531</v>
      </c>
      <c r="L12">
        <v>6.18</v>
      </c>
      <c r="M12" s="1">
        <v>44867</v>
      </c>
      <c r="N12">
        <v>13.6</v>
      </c>
      <c r="O12" s="1">
        <v>46204</v>
      </c>
      <c r="P12">
        <v>1254</v>
      </c>
      <c r="Q12" t="s">
        <v>21</v>
      </c>
      <c r="R12" t="s">
        <v>810</v>
      </c>
    </row>
    <row r="13" spans="1:18" x14ac:dyDescent="0.35">
      <c r="A13" t="s">
        <v>150</v>
      </c>
      <c r="B13" t="s">
        <v>150</v>
      </c>
      <c r="C13" t="s">
        <v>151</v>
      </c>
      <c r="D13" t="s">
        <v>84</v>
      </c>
      <c r="E13">
        <v>3711</v>
      </c>
      <c r="F13" t="s">
        <v>152</v>
      </c>
      <c r="G13" s="1">
        <v>44510</v>
      </c>
      <c r="H13" s="1">
        <v>44510</v>
      </c>
      <c r="I13" t="b">
        <v>0</v>
      </c>
      <c r="J13">
        <v>179.4699</v>
      </c>
      <c r="K13" s="1">
        <v>44516</v>
      </c>
      <c r="L13">
        <v>8.26</v>
      </c>
      <c r="M13" s="1">
        <v>45398</v>
      </c>
      <c r="N13">
        <v>17.18</v>
      </c>
      <c r="O13" s="1">
        <v>46204</v>
      </c>
      <c r="P13">
        <v>1163</v>
      </c>
      <c r="Q13" t="s">
        <v>21</v>
      </c>
      <c r="R13" t="s">
        <v>810</v>
      </c>
    </row>
    <row r="14" spans="1:18" x14ac:dyDescent="0.35">
      <c r="A14" t="s">
        <v>603</v>
      </c>
      <c r="B14" t="s">
        <v>604</v>
      </c>
      <c r="C14" t="s">
        <v>605</v>
      </c>
      <c r="D14" t="s">
        <v>84</v>
      </c>
      <c r="E14">
        <v>7500</v>
      </c>
      <c r="F14" t="s">
        <v>502</v>
      </c>
      <c r="G14" s="1">
        <v>44372</v>
      </c>
      <c r="H14" s="1">
        <v>44379</v>
      </c>
      <c r="I14" t="b">
        <v>1</v>
      </c>
      <c r="J14">
        <v>24.489899999999999</v>
      </c>
      <c r="K14" s="1">
        <v>44403</v>
      </c>
      <c r="L14">
        <v>4.6100000000000003</v>
      </c>
      <c r="M14" s="1">
        <v>45944</v>
      </c>
      <c r="N14">
        <v>7.1</v>
      </c>
      <c r="O14" s="1">
        <v>46160</v>
      </c>
      <c r="P14">
        <v>1224</v>
      </c>
      <c r="Q14" t="s">
        <v>21</v>
      </c>
      <c r="R14" t="s">
        <v>810</v>
      </c>
    </row>
    <row r="15" spans="1:18" x14ac:dyDescent="0.35">
      <c r="A15" t="s">
        <v>219</v>
      </c>
      <c r="B15" t="s">
        <v>219</v>
      </c>
      <c r="C15" t="s">
        <v>220</v>
      </c>
      <c r="D15" t="s">
        <v>84</v>
      </c>
      <c r="G15" s="1">
        <v>45210</v>
      </c>
      <c r="H15" s="1">
        <v>45210</v>
      </c>
      <c r="I15" t="b">
        <v>0</v>
      </c>
      <c r="J15">
        <v>64.78</v>
      </c>
      <c r="K15" s="1">
        <v>45530</v>
      </c>
      <c r="L15">
        <v>31.12</v>
      </c>
      <c r="M15" s="1">
        <v>46157</v>
      </c>
      <c r="N15">
        <v>44.03</v>
      </c>
      <c r="O15" s="1">
        <v>46204</v>
      </c>
      <c r="P15">
        <v>682</v>
      </c>
      <c r="Q15" t="s">
        <v>21</v>
      </c>
      <c r="R15" t="s">
        <v>810</v>
      </c>
    </row>
    <row r="16" spans="1:18" x14ac:dyDescent="0.35">
      <c r="A16" t="s">
        <v>564</v>
      </c>
      <c r="B16" t="s">
        <v>564</v>
      </c>
      <c r="C16" t="s">
        <v>565</v>
      </c>
      <c r="D16" t="s">
        <v>84</v>
      </c>
      <c r="E16">
        <v>7510</v>
      </c>
      <c r="F16" t="s">
        <v>566</v>
      </c>
      <c r="G16" s="1">
        <v>44377</v>
      </c>
      <c r="H16" s="1">
        <v>44509</v>
      </c>
      <c r="I16" t="b">
        <v>1</v>
      </c>
      <c r="J16">
        <v>28</v>
      </c>
      <c r="K16" s="1">
        <v>44509</v>
      </c>
      <c r="L16">
        <v>2.13</v>
      </c>
      <c r="M16" s="1">
        <v>46204</v>
      </c>
      <c r="N16">
        <v>2.2000000000000002</v>
      </c>
      <c r="O16" s="1">
        <v>46204</v>
      </c>
      <c r="P16">
        <v>1164</v>
      </c>
      <c r="Q16" t="s">
        <v>21</v>
      </c>
      <c r="R16" t="s">
        <v>810</v>
      </c>
    </row>
    <row r="17" spans="1:18" x14ac:dyDescent="0.35">
      <c r="A17" t="s">
        <v>230</v>
      </c>
      <c r="B17" t="s">
        <v>230</v>
      </c>
      <c r="C17" t="s">
        <v>231</v>
      </c>
      <c r="D17" t="s">
        <v>84</v>
      </c>
      <c r="E17">
        <v>7373</v>
      </c>
      <c r="F17" t="s">
        <v>102</v>
      </c>
      <c r="G17" s="1">
        <v>44504</v>
      </c>
      <c r="H17" s="1">
        <v>44504</v>
      </c>
      <c r="I17" t="b">
        <v>0</v>
      </c>
      <c r="J17">
        <v>17.770299999999999</v>
      </c>
      <c r="K17" s="1">
        <v>44519</v>
      </c>
      <c r="L17">
        <v>1.1000000000000001</v>
      </c>
      <c r="M17" s="1">
        <v>44922</v>
      </c>
      <c r="N17">
        <v>7.07</v>
      </c>
      <c r="O17" s="1">
        <v>46204</v>
      </c>
      <c r="P17">
        <v>1167</v>
      </c>
      <c r="Q17" t="s">
        <v>21</v>
      </c>
      <c r="R17" t="s">
        <v>810</v>
      </c>
    </row>
    <row r="18" spans="1:18" x14ac:dyDescent="0.35">
      <c r="A18" t="s">
        <v>524</v>
      </c>
      <c r="B18" t="s">
        <v>524</v>
      </c>
      <c r="C18" t="s">
        <v>525</v>
      </c>
      <c r="D18" t="s">
        <v>84</v>
      </c>
      <c r="E18">
        <v>3851</v>
      </c>
      <c r="F18" t="s">
        <v>367</v>
      </c>
      <c r="G18" s="1">
        <v>44468</v>
      </c>
      <c r="H18" s="1">
        <v>44468</v>
      </c>
      <c r="I18" t="b">
        <v>0</v>
      </c>
      <c r="J18">
        <v>60.3</v>
      </c>
      <c r="K18" s="1">
        <v>44512</v>
      </c>
      <c r="L18">
        <v>9.5</v>
      </c>
      <c r="M18" s="1">
        <v>45005</v>
      </c>
      <c r="N18">
        <v>29.37</v>
      </c>
      <c r="O18" s="1">
        <v>46204</v>
      </c>
      <c r="P18">
        <v>1193</v>
      </c>
      <c r="Q18" t="s">
        <v>21</v>
      </c>
      <c r="R18" t="s">
        <v>810</v>
      </c>
    </row>
    <row r="19" spans="1:18" x14ac:dyDescent="0.35">
      <c r="A19" t="s">
        <v>500</v>
      </c>
      <c r="B19" t="s">
        <v>500</v>
      </c>
      <c r="C19" t="s">
        <v>501</v>
      </c>
      <c r="D19" t="s">
        <v>84</v>
      </c>
      <c r="E19">
        <v>7500</v>
      </c>
      <c r="F19" t="s">
        <v>502</v>
      </c>
      <c r="G19" s="1">
        <v>44211</v>
      </c>
      <c r="H19" s="1">
        <v>44379</v>
      </c>
      <c r="I19" t="b">
        <v>1</v>
      </c>
      <c r="J19">
        <v>35.450000000000003</v>
      </c>
      <c r="K19" s="1">
        <v>44816</v>
      </c>
      <c r="L19">
        <v>9.8000000000000007</v>
      </c>
      <c r="M19" s="1">
        <v>46078</v>
      </c>
      <c r="N19">
        <v>14.11</v>
      </c>
      <c r="O19" s="1">
        <v>46204</v>
      </c>
      <c r="P19">
        <v>1254</v>
      </c>
      <c r="Q19" t="s">
        <v>21</v>
      </c>
      <c r="R19" t="s">
        <v>810</v>
      </c>
    </row>
    <row r="20" spans="1:18" x14ac:dyDescent="0.35">
      <c r="A20" t="s">
        <v>485</v>
      </c>
      <c r="B20" t="s">
        <v>485</v>
      </c>
      <c r="C20" t="s">
        <v>486</v>
      </c>
      <c r="D20" t="s">
        <v>84</v>
      </c>
      <c r="E20">
        <v>3580</v>
      </c>
      <c r="F20" t="s">
        <v>487</v>
      </c>
      <c r="G20" s="1">
        <v>44267</v>
      </c>
      <c r="H20" s="1">
        <v>44379</v>
      </c>
      <c r="I20" t="b">
        <v>1</v>
      </c>
      <c r="J20">
        <v>28.65</v>
      </c>
      <c r="K20" s="1">
        <v>44518</v>
      </c>
      <c r="L20">
        <v>7.97</v>
      </c>
      <c r="M20" s="1">
        <v>44855</v>
      </c>
      <c r="N20">
        <v>16.97</v>
      </c>
      <c r="O20" s="1">
        <v>46204</v>
      </c>
      <c r="P20">
        <v>1254</v>
      </c>
      <c r="Q20" t="s">
        <v>21</v>
      </c>
      <c r="R20" t="s">
        <v>810</v>
      </c>
    </row>
    <row r="21" spans="1:18" x14ac:dyDescent="0.35">
      <c r="A21" t="s">
        <v>321</v>
      </c>
      <c r="B21" t="s">
        <v>321</v>
      </c>
      <c r="C21" t="s">
        <v>322</v>
      </c>
      <c r="D21" t="s">
        <v>84</v>
      </c>
      <c r="G21" s="1">
        <v>44328</v>
      </c>
      <c r="H21" s="1">
        <v>44379</v>
      </c>
      <c r="I21" t="b">
        <v>1</v>
      </c>
      <c r="J21">
        <v>83.77</v>
      </c>
      <c r="K21" s="1">
        <v>44439</v>
      </c>
      <c r="L21">
        <v>15.63</v>
      </c>
      <c r="M21" s="1">
        <v>44698</v>
      </c>
      <c r="N21">
        <v>35.83</v>
      </c>
      <c r="O21" s="1">
        <v>46204</v>
      </c>
      <c r="P21">
        <v>1254</v>
      </c>
      <c r="Q21" t="s">
        <v>21</v>
      </c>
      <c r="R21" t="s">
        <v>810</v>
      </c>
    </row>
    <row r="22" spans="1:18" x14ac:dyDescent="0.35">
      <c r="A22" t="s">
        <v>421</v>
      </c>
      <c r="B22" t="s">
        <v>421</v>
      </c>
      <c r="C22" t="s">
        <v>422</v>
      </c>
      <c r="D22" t="s">
        <v>84</v>
      </c>
      <c r="G22" s="1">
        <v>44550</v>
      </c>
      <c r="H22" s="1">
        <v>44550</v>
      </c>
      <c r="I22" t="b">
        <v>0</v>
      </c>
      <c r="J22">
        <v>16.36</v>
      </c>
      <c r="K22" s="1">
        <v>45148</v>
      </c>
      <c r="L22">
        <v>6.05</v>
      </c>
      <c r="M22" s="1">
        <v>45756</v>
      </c>
      <c r="N22">
        <v>12.99</v>
      </c>
      <c r="O22" s="1">
        <v>46204</v>
      </c>
      <c r="P22">
        <v>1136</v>
      </c>
      <c r="Q22" t="s">
        <v>21</v>
      </c>
      <c r="R22" t="s">
        <v>810</v>
      </c>
    </row>
    <row r="23" spans="1:18" x14ac:dyDescent="0.35">
      <c r="A23" t="s">
        <v>773</v>
      </c>
      <c r="B23" t="s">
        <v>773</v>
      </c>
      <c r="C23" t="s">
        <v>774</v>
      </c>
      <c r="D23" t="s">
        <v>64</v>
      </c>
      <c r="E23">
        <v>8351</v>
      </c>
      <c r="F23" t="s">
        <v>775</v>
      </c>
      <c r="G23" s="1">
        <v>45574</v>
      </c>
      <c r="H23" s="1">
        <v>45574</v>
      </c>
      <c r="I23" t="b">
        <v>0</v>
      </c>
      <c r="J23">
        <v>29.89</v>
      </c>
      <c r="K23" s="1">
        <v>45596</v>
      </c>
      <c r="L23">
        <v>1.75</v>
      </c>
      <c r="M23" s="1">
        <v>46097</v>
      </c>
      <c r="N23">
        <v>4.8</v>
      </c>
      <c r="O23" s="1">
        <v>46204</v>
      </c>
      <c r="P23">
        <v>432</v>
      </c>
      <c r="Q23" t="s">
        <v>21</v>
      </c>
      <c r="R23" t="s">
        <v>810</v>
      </c>
    </row>
    <row r="24" spans="1:18" x14ac:dyDescent="0.35">
      <c r="A24" t="s">
        <v>62</v>
      </c>
      <c r="B24" t="s">
        <v>62</v>
      </c>
      <c r="C24" t="s">
        <v>63</v>
      </c>
      <c r="D24" t="s">
        <v>64</v>
      </c>
      <c r="E24">
        <v>5961</v>
      </c>
      <c r="F24" t="s">
        <v>65</v>
      </c>
      <c r="G24" s="1">
        <v>44266</v>
      </c>
      <c r="H24" s="1">
        <v>44379</v>
      </c>
      <c r="I24" t="b">
        <v>1</v>
      </c>
      <c r="J24">
        <v>46</v>
      </c>
      <c r="K24" s="1">
        <v>44390</v>
      </c>
      <c r="L24">
        <v>8.98</v>
      </c>
      <c r="M24" s="1">
        <v>44692</v>
      </c>
      <c r="N24">
        <v>18.13</v>
      </c>
      <c r="O24" s="1">
        <v>46204</v>
      </c>
      <c r="P24">
        <v>1254</v>
      </c>
      <c r="Q24" t="s">
        <v>21</v>
      </c>
      <c r="R24" t="s">
        <v>810</v>
      </c>
    </row>
    <row r="25" spans="1:18" x14ac:dyDescent="0.35">
      <c r="A25" t="s">
        <v>69</v>
      </c>
      <c r="B25" t="s">
        <v>69</v>
      </c>
      <c r="C25" t="s">
        <v>70</v>
      </c>
      <c r="D25" t="s">
        <v>64</v>
      </c>
      <c r="E25">
        <v>2844</v>
      </c>
      <c r="F25" t="s">
        <v>71</v>
      </c>
      <c r="G25" s="1">
        <v>45050</v>
      </c>
      <c r="H25" s="1">
        <v>45050</v>
      </c>
      <c r="I25" t="b">
        <v>0</v>
      </c>
      <c r="J25">
        <v>27.795000000000002</v>
      </c>
      <c r="K25" s="1">
        <v>45061</v>
      </c>
      <c r="L25">
        <v>14.02</v>
      </c>
      <c r="M25" s="1">
        <v>45960</v>
      </c>
      <c r="N25">
        <v>19.329999999999998</v>
      </c>
      <c r="O25" s="1">
        <v>46204</v>
      </c>
      <c r="P25">
        <v>792</v>
      </c>
      <c r="Q25" t="s">
        <v>21</v>
      </c>
      <c r="R25" t="s">
        <v>810</v>
      </c>
    </row>
    <row r="26" spans="1:18" x14ac:dyDescent="0.35">
      <c r="A26" t="s">
        <v>724</v>
      </c>
      <c r="B26" t="s">
        <v>724</v>
      </c>
      <c r="C26" t="s">
        <v>725</v>
      </c>
      <c r="D26" t="s">
        <v>64</v>
      </c>
      <c r="E26">
        <v>100</v>
      </c>
      <c r="G26" s="1">
        <v>44407</v>
      </c>
      <c r="H26" s="1">
        <v>44407</v>
      </c>
      <c r="I26" t="b">
        <v>0</v>
      </c>
      <c r="J26">
        <v>17.66</v>
      </c>
      <c r="K26" s="1">
        <v>44469</v>
      </c>
      <c r="L26">
        <v>7.2</v>
      </c>
      <c r="M26" s="1">
        <v>44837</v>
      </c>
      <c r="N26">
        <v>13.73</v>
      </c>
      <c r="O26" s="1">
        <v>46204</v>
      </c>
      <c r="P26">
        <v>1235</v>
      </c>
      <c r="Q26" t="s">
        <v>21</v>
      </c>
      <c r="R26" t="s">
        <v>810</v>
      </c>
    </row>
    <row r="27" spans="1:18" x14ac:dyDescent="0.35">
      <c r="A27" t="s">
        <v>711</v>
      </c>
      <c r="B27" t="s">
        <v>711</v>
      </c>
      <c r="C27" t="s">
        <v>712</v>
      </c>
      <c r="D27" t="s">
        <v>64</v>
      </c>
      <c r="E27">
        <v>7372</v>
      </c>
      <c r="F27" t="s">
        <v>20</v>
      </c>
      <c r="G27" s="1">
        <v>44286</v>
      </c>
      <c r="H27" s="1">
        <v>44379</v>
      </c>
      <c r="I27" t="b">
        <v>1</v>
      </c>
      <c r="J27">
        <v>43.78</v>
      </c>
      <c r="K27" s="1">
        <v>44412</v>
      </c>
      <c r="L27">
        <v>5</v>
      </c>
      <c r="M27" s="1">
        <v>46136</v>
      </c>
      <c r="N27">
        <v>5.98</v>
      </c>
      <c r="O27" s="1">
        <v>46204</v>
      </c>
      <c r="P27">
        <v>1254</v>
      </c>
      <c r="Q27" t="s">
        <v>21</v>
      </c>
      <c r="R27" t="s">
        <v>810</v>
      </c>
    </row>
    <row r="28" spans="1:18" x14ac:dyDescent="0.35">
      <c r="A28" t="s">
        <v>678</v>
      </c>
      <c r="B28" t="s">
        <v>678</v>
      </c>
      <c r="C28" t="s">
        <v>679</v>
      </c>
      <c r="D28" t="s">
        <v>64</v>
      </c>
      <c r="E28">
        <v>7374</v>
      </c>
      <c r="F28" t="s">
        <v>90</v>
      </c>
      <c r="G28" s="1">
        <v>44377</v>
      </c>
      <c r="H28" s="1">
        <v>44379</v>
      </c>
      <c r="I28" t="b">
        <v>1</v>
      </c>
      <c r="J28">
        <v>40.94</v>
      </c>
      <c r="K28" s="1">
        <v>44379</v>
      </c>
      <c r="L28">
        <v>5.22</v>
      </c>
      <c r="M28" s="1">
        <v>46195</v>
      </c>
      <c r="N28">
        <v>6.55</v>
      </c>
      <c r="O28" s="1">
        <v>46204</v>
      </c>
      <c r="P28">
        <v>1254</v>
      </c>
      <c r="Q28" t="s">
        <v>21</v>
      </c>
      <c r="R28" t="s">
        <v>810</v>
      </c>
    </row>
    <row r="29" spans="1:18" x14ac:dyDescent="0.35">
      <c r="A29" t="s">
        <v>660</v>
      </c>
      <c r="B29" t="s">
        <v>660</v>
      </c>
      <c r="C29" t="s">
        <v>661</v>
      </c>
      <c r="D29" t="s">
        <v>64</v>
      </c>
      <c r="E29">
        <v>5900</v>
      </c>
      <c r="F29" t="s">
        <v>662</v>
      </c>
      <c r="G29" s="1">
        <v>45106</v>
      </c>
      <c r="H29" s="1">
        <v>45106</v>
      </c>
      <c r="I29" t="b">
        <v>0</v>
      </c>
      <c r="J29">
        <v>26.88</v>
      </c>
      <c r="K29" s="1">
        <v>45162</v>
      </c>
      <c r="L29">
        <v>6.48</v>
      </c>
      <c r="M29" s="1">
        <v>45727</v>
      </c>
      <c r="N29">
        <v>10.01</v>
      </c>
      <c r="O29" s="1">
        <v>46204</v>
      </c>
      <c r="P29">
        <v>754</v>
      </c>
      <c r="Q29" t="s">
        <v>21</v>
      </c>
      <c r="R29" t="s">
        <v>810</v>
      </c>
    </row>
    <row r="30" spans="1:18" x14ac:dyDescent="0.35">
      <c r="A30" t="s">
        <v>175</v>
      </c>
      <c r="B30" t="s">
        <v>175</v>
      </c>
      <c r="C30" t="s">
        <v>176</v>
      </c>
      <c r="D30" t="s">
        <v>64</v>
      </c>
      <c r="E30">
        <v>5411</v>
      </c>
      <c r="F30" t="s">
        <v>177</v>
      </c>
      <c r="G30" s="1">
        <v>44008</v>
      </c>
      <c r="H30" s="1">
        <v>44379</v>
      </c>
      <c r="I30" t="b">
        <v>1</v>
      </c>
      <c r="J30">
        <v>37.99</v>
      </c>
      <c r="K30" s="1">
        <v>44627</v>
      </c>
      <c r="L30">
        <v>13.164999999999999</v>
      </c>
      <c r="M30" s="1">
        <v>46203</v>
      </c>
      <c r="N30">
        <v>13.81</v>
      </c>
      <c r="O30" s="1">
        <v>46204</v>
      </c>
      <c r="P30">
        <v>1254</v>
      </c>
      <c r="Q30" t="s">
        <v>21</v>
      </c>
      <c r="R30" t="s">
        <v>810</v>
      </c>
    </row>
    <row r="31" spans="1:18" x14ac:dyDescent="0.35">
      <c r="A31" t="s">
        <v>623</v>
      </c>
      <c r="B31" t="s">
        <v>623</v>
      </c>
      <c r="C31" t="s">
        <v>624</v>
      </c>
      <c r="D31" t="s">
        <v>64</v>
      </c>
      <c r="E31">
        <v>3690</v>
      </c>
      <c r="F31" t="s">
        <v>412</v>
      </c>
      <c r="G31" s="1">
        <v>44392</v>
      </c>
      <c r="H31" s="1">
        <v>44392</v>
      </c>
      <c r="I31" t="b">
        <v>0</v>
      </c>
      <c r="J31">
        <v>34.545000000000002</v>
      </c>
      <c r="K31" s="1">
        <v>44522</v>
      </c>
      <c r="L31">
        <v>4.6113</v>
      </c>
      <c r="M31" s="1">
        <v>45755</v>
      </c>
      <c r="N31">
        <v>5.85</v>
      </c>
      <c r="O31" s="1">
        <v>46204</v>
      </c>
      <c r="P31">
        <v>1246</v>
      </c>
      <c r="Q31" t="s">
        <v>21</v>
      </c>
      <c r="R31" t="s">
        <v>810</v>
      </c>
    </row>
    <row r="32" spans="1:18" x14ac:dyDescent="0.35">
      <c r="A32" t="s">
        <v>253</v>
      </c>
      <c r="B32" t="s">
        <v>253</v>
      </c>
      <c r="C32" t="s">
        <v>254</v>
      </c>
      <c r="D32" t="s">
        <v>64</v>
      </c>
      <c r="E32">
        <v>2000</v>
      </c>
      <c r="F32" t="s">
        <v>255</v>
      </c>
      <c r="G32" s="1">
        <v>43755</v>
      </c>
      <c r="H32" s="1">
        <v>44379</v>
      </c>
      <c r="I32" t="b">
        <v>1</v>
      </c>
      <c r="J32">
        <v>80.67</v>
      </c>
      <c r="K32" s="1">
        <v>45687</v>
      </c>
      <c r="L32">
        <v>7.82</v>
      </c>
      <c r="M32" s="1">
        <v>46181</v>
      </c>
      <c r="N32">
        <v>13.35</v>
      </c>
      <c r="O32" s="1">
        <v>46204</v>
      </c>
      <c r="P32">
        <v>1254</v>
      </c>
      <c r="Q32" t="s">
        <v>21</v>
      </c>
      <c r="R32" t="s">
        <v>810</v>
      </c>
    </row>
    <row r="33" spans="1:18" x14ac:dyDescent="0.35">
      <c r="A33" t="s">
        <v>376</v>
      </c>
      <c r="B33" t="s">
        <v>376</v>
      </c>
      <c r="C33" t="s">
        <v>377</v>
      </c>
      <c r="D33" t="s">
        <v>64</v>
      </c>
      <c r="G33" s="1">
        <v>45126</v>
      </c>
      <c r="H33" s="1">
        <v>45126</v>
      </c>
      <c r="I33" t="b">
        <v>0</v>
      </c>
      <c r="J33">
        <v>79.180400000000006</v>
      </c>
      <c r="K33" s="1">
        <v>45811</v>
      </c>
      <c r="L33">
        <v>9.2500999999999998</v>
      </c>
      <c r="M33" s="1">
        <v>46176</v>
      </c>
      <c r="N33">
        <v>17.010000000000002</v>
      </c>
      <c r="O33" s="1">
        <v>46204</v>
      </c>
      <c r="P33">
        <v>741</v>
      </c>
      <c r="Q33" t="s">
        <v>21</v>
      </c>
      <c r="R33" t="s">
        <v>810</v>
      </c>
    </row>
    <row r="34" spans="1:18" x14ac:dyDescent="0.35">
      <c r="A34" t="s">
        <v>50</v>
      </c>
      <c r="B34" t="s">
        <v>50</v>
      </c>
      <c r="C34" t="s">
        <v>51</v>
      </c>
      <c r="D34" t="s">
        <v>37</v>
      </c>
      <c r="E34">
        <v>7340</v>
      </c>
      <c r="F34" t="s">
        <v>52</v>
      </c>
      <c r="G34" s="1">
        <v>44175</v>
      </c>
      <c r="H34" s="1">
        <v>44379</v>
      </c>
      <c r="I34" t="b">
        <v>1</v>
      </c>
      <c r="J34">
        <v>212.5838</v>
      </c>
      <c r="K34" s="1">
        <v>44517</v>
      </c>
      <c r="L34">
        <v>81.91</v>
      </c>
      <c r="M34" s="1">
        <v>44923</v>
      </c>
      <c r="N34">
        <v>147.31</v>
      </c>
      <c r="O34" s="1">
        <v>46204</v>
      </c>
      <c r="P34">
        <v>1254</v>
      </c>
      <c r="Q34" t="s">
        <v>21</v>
      </c>
      <c r="R34" t="s">
        <v>810</v>
      </c>
    </row>
    <row r="35" spans="1:18" x14ac:dyDescent="0.35">
      <c r="A35" t="s">
        <v>740</v>
      </c>
      <c r="B35" t="s">
        <v>741</v>
      </c>
      <c r="C35" t="s">
        <v>742</v>
      </c>
      <c r="D35" t="s">
        <v>37</v>
      </c>
      <c r="E35">
        <v>7370</v>
      </c>
      <c r="F35" t="s">
        <v>34</v>
      </c>
      <c r="G35" s="1">
        <v>44377</v>
      </c>
      <c r="H35" s="1">
        <v>44379</v>
      </c>
      <c r="I35" t="b">
        <v>1</v>
      </c>
      <c r="J35">
        <v>29.68</v>
      </c>
      <c r="K35" s="1">
        <v>44511</v>
      </c>
      <c r="L35">
        <v>6.2610999999999999</v>
      </c>
      <c r="M35" s="1">
        <v>45768</v>
      </c>
      <c r="N35">
        <v>10.34</v>
      </c>
      <c r="O35" s="1">
        <v>46013</v>
      </c>
      <c r="P35">
        <v>1124</v>
      </c>
      <c r="Q35" t="s">
        <v>21</v>
      </c>
      <c r="R35" t="s">
        <v>810</v>
      </c>
    </row>
    <row r="36" spans="1:18" x14ac:dyDescent="0.35">
      <c r="A36" t="s">
        <v>687</v>
      </c>
      <c r="B36" t="s">
        <v>688</v>
      </c>
      <c r="C36" t="s">
        <v>689</v>
      </c>
      <c r="D36" t="s">
        <v>37</v>
      </c>
      <c r="E36">
        <v>7389</v>
      </c>
      <c r="F36" t="s">
        <v>38</v>
      </c>
      <c r="G36" s="1">
        <v>44272</v>
      </c>
      <c r="H36" s="1">
        <v>44379</v>
      </c>
      <c r="I36" t="b">
        <v>1</v>
      </c>
      <c r="J36">
        <v>49</v>
      </c>
      <c r="K36" s="1">
        <v>44435</v>
      </c>
      <c r="L36">
        <v>4.2</v>
      </c>
      <c r="M36" s="1">
        <v>45483</v>
      </c>
      <c r="N36">
        <v>10.26</v>
      </c>
      <c r="O36" s="1">
        <v>45911</v>
      </c>
      <c r="P36">
        <v>1053</v>
      </c>
      <c r="Q36" t="s">
        <v>21</v>
      </c>
      <c r="R36" t="s">
        <v>810</v>
      </c>
    </row>
    <row r="37" spans="1:18" x14ac:dyDescent="0.35">
      <c r="A37" t="s">
        <v>674</v>
      </c>
      <c r="B37" t="s">
        <v>674</v>
      </c>
      <c r="C37" t="s">
        <v>675</v>
      </c>
      <c r="D37" t="s">
        <v>37</v>
      </c>
      <c r="E37">
        <v>5812</v>
      </c>
      <c r="F37" t="s">
        <v>227</v>
      </c>
      <c r="G37" s="1">
        <v>44518</v>
      </c>
      <c r="H37" s="1">
        <v>44518</v>
      </c>
      <c r="I37" t="b">
        <v>0</v>
      </c>
      <c r="J37">
        <v>56.2</v>
      </c>
      <c r="K37" s="1">
        <v>44518</v>
      </c>
      <c r="L37">
        <v>4.49</v>
      </c>
      <c r="M37" s="1">
        <v>46111</v>
      </c>
      <c r="N37">
        <v>9.1</v>
      </c>
      <c r="O37" s="1">
        <v>46204</v>
      </c>
      <c r="P37">
        <v>1157</v>
      </c>
      <c r="Q37" t="s">
        <v>21</v>
      </c>
      <c r="R37" t="s">
        <v>810</v>
      </c>
    </row>
    <row r="38" spans="1:18" x14ac:dyDescent="0.35">
      <c r="A38" t="s">
        <v>544</v>
      </c>
      <c r="B38" t="s">
        <v>544</v>
      </c>
      <c r="C38" t="s">
        <v>545</v>
      </c>
      <c r="D38" t="s">
        <v>37</v>
      </c>
      <c r="E38">
        <v>7370</v>
      </c>
      <c r="F38" t="s">
        <v>34</v>
      </c>
      <c r="G38" s="1">
        <v>44307</v>
      </c>
      <c r="H38" s="1">
        <v>44379</v>
      </c>
      <c r="I38" t="b">
        <v>1</v>
      </c>
      <c r="J38">
        <v>43</v>
      </c>
      <c r="K38" s="1">
        <v>45348</v>
      </c>
      <c r="L38">
        <v>7.64</v>
      </c>
      <c r="M38" s="1">
        <v>45968</v>
      </c>
      <c r="N38">
        <v>11.22</v>
      </c>
      <c r="O38" s="1">
        <v>46204</v>
      </c>
      <c r="P38">
        <v>1254</v>
      </c>
      <c r="Q38" t="s">
        <v>21</v>
      </c>
      <c r="R38" t="s">
        <v>810</v>
      </c>
    </row>
    <row r="39" spans="1:18" x14ac:dyDescent="0.35">
      <c r="A39" t="s">
        <v>732</v>
      </c>
      <c r="B39" t="s">
        <v>732</v>
      </c>
      <c r="C39" t="s">
        <v>733</v>
      </c>
      <c r="D39" t="s">
        <v>24</v>
      </c>
      <c r="E39">
        <v>1389</v>
      </c>
      <c r="F39" t="s">
        <v>734</v>
      </c>
      <c r="G39" s="1">
        <v>44694</v>
      </c>
      <c r="H39" s="1">
        <v>44867</v>
      </c>
      <c r="I39" t="b">
        <v>1</v>
      </c>
      <c r="J39">
        <v>27</v>
      </c>
      <c r="K39" s="1">
        <v>44876</v>
      </c>
      <c r="L39">
        <v>3.08</v>
      </c>
      <c r="M39" s="1">
        <v>45986</v>
      </c>
      <c r="N39">
        <v>5.49</v>
      </c>
      <c r="O39" s="1">
        <v>46204</v>
      </c>
      <c r="P39">
        <v>917</v>
      </c>
      <c r="Q39" t="s">
        <v>21</v>
      </c>
      <c r="R39" t="s">
        <v>810</v>
      </c>
    </row>
    <row r="40" spans="1:18" x14ac:dyDescent="0.35">
      <c r="A40" t="s">
        <v>716</v>
      </c>
      <c r="B40" t="s">
        <v>717</v>
      </c>
      <c r="C40" t="s">
        <v>718</v>
      </c>
      <c r="D40" t="s">
        <v>24</v>
      </c>
      <c r="Q40" t="s">
        <v>399</v>
      </c>
      <c r="R40" t="s">
        <v>810</v>
      </c>
    </row>
    <row r="41" spans="1:18" x14ac:dyDescent="0.35">
      <c r="A41" t="s">
        <v>670</v>
      </c>
      <c r="B41" t="s">
        <v>670</v>
      </c>
      <c r="C41" t="s">
        <v>671</v>
      </c>
      <c r="D41" t="s">
        <v>24</v>
      </c>
      <c r="E41">
        <v>1311</v>
      </c>
      <c r="F41" t="s">
        <v>87</v>
      </c>
      <c r="G41" s="1">
        <v>44994</v>
      </c>
      <c r="H41" s="1">
        <v>44994</v>
      </c>
      <c r="I41" t="b">
        <v>0</v>
      </c>
      <c r="J41">
        <v>26.86</v>
      </c>
      <c r="K41" s="1">
        <v>45685</v>
      </c>
      <c r="L41">
        <v>7.6417000000000002</v>
      </c>
      <c r="M41" s="1">
        <v>45985</v>
      </c>
      <c r="N41">
        <v>15.62</v>
      </c>
      <c r="O41" s="1">
        <v>46204</v>
      </c>
      <c r="P41">
        <v>831</v>
      </c>
      <c r="Q41" t="s">
        <v>21</v>
      </c>
      <c r="R41" t="s">
        <v>810</v>
      </c>
    </row>
    <row r="42" spans="1:18" x14ac:dyDescent="0.35">
      <c r="A42" t="s">
        <v>666</v>
      </c>
      <c r="B42" t="s">
        <v>666</v>
      </c>
      <c r="C42" t="s">
        <v>667</v>
      </c>
      <c r="D42" t="s">
        <v>24</v>
      </c>
      <c r="E42">
        <v>1381</v>
      </c>
      <c r="F42" t="s">
        <v>380</v>
      </c>
      <c r="G42" s="1">
        <v>44714</v>
      </c>
      <c r="H42" s="1">
        <v>44848</v>
      </c>
      <c r="I42" t="b">
        <v>1</v>
      </c>
      <c r="J42">
        <v>56.46</v>
      </c>
      <c r="K42" s="1">
        <v>45499</v>
      </c>
      <c r="L42">
        <v>17.739999999999998</v>
      </c>
      <c r="M42" s="1">
        <v>45756</v>
      </c>
      <c r="N42">
        <v>38.85</v>
      </c>
      <c r="O42" s="1">
        <v>46204</v>
      </c>
      <c r="P42">
        <v>930</v>
      </c>
      <c r="Q42" t="s">
        <v>21</v>
      </c>
      <c r="R42" t="s">
        <v>810</v>
      </c>
    </row>
    <row r="43" spans="1:18" x14ac:dyDescent="0.35">
      <c r="A43" t="s">
        <v>562</v>
      </c>
      <c r="B43" t="s">
        <v>562</v>
      </c>
      <c r="C43" t="s">
        <v>563</v>
      </c>
      <c r="D43" t="s">
        <v>24</v>
      </c>
      <c r="E43">
        <v>1311</v>
      </c>
      <c r="F43" t="s">
        <v>87</v>
      </c>
      <c r="G43" s="1">
        <v>44305</v>
      </c>
      <c r="H43" s="1">
        <v>45337</v>
      </c>
      <c r="I43" t="b">
        <v>1</v>
      </c>
      <c r="J43">
        <v>35</v>
      </c>
      <c r="K43" s="1">
        <v>45796</v>
      </c>
      <c r="L43">
        <v>2.88</v>
      </c>
      <c r="M43" s="1">
        <v>46203</v>
      </c>
      <c r="N43">
        <v>4.4000000000000004</v>
      </c>
      <c r="O43" s="1">
        <v>46204</v>
      </c>
      <c r="P43">
        <v>595</v>
      </c>
      <c r="Q43" t="s">
        <v>21</v>
      </c>
      <c r="R43" t="s">
        <v>810</v>
      </c>
    </row>
    <row r="44" spans="1:18" x14ac:dyDescent="0.35">
      <c r="A44" t="s">
        <v>503</v>
      </c>
      <c r="B44" t="s">
        <v>503</v>
      </c>
      <c r="C44" t="s">
        <v>504</v>
      </c>
      <c r="D44" t="s">
        <v>24</v>
      </c>
      <c r="E44">
        <v>1311</v>
      </c>
      <c r="F44" t="s">
        <v>87</v>
      </c>
      <c r="G44" s="1">
        <v>44538</v>
      </c>
      <c r="H44" s="1">
        <v>44538</v>
      </c>
      <c r="I44" t="b">
        <v>0</v>
      </c>
      <c r="J44">
        <v>19.649999999999999</v>
      </c>
      <c r="K44" s="1">
        <v>44669</v>
      </c>
      <c r="L44">
        <v>6.83</v>
      </c>
      <c r="M44" s="1">
        <v>45756</v>
      </c>
      <c r="N44">
        <v>9.4700000000000006</v>
      </c>
      <c r="O44" s="1">
        <v>46204</v>
      </c>
      <c r="P44">
        <v>1144</v>
      </c>
      <c r="Q44" t="s">
        <v>21</v>
      </c>
      <c r="R44" t="s">
        <v>810</v>
      </c>
    </row>
    <row r="45" spans="1:18" x14ac:dyDescent="0.35">
      <c r="A45" t="s">
        <v>305</v>
      </c>
      <c r="B45" t="s">
        <v>305</v>
      </c>
      <c r="C45" t="s">
        <v>306</v>
      </c>
      <c r="D45" t="s">
        <v>24</v>
      </c>
      <c r="E45">
        <v>1311</v>
      </c>
      <c r="F45" t="s">
        <v>87</v>
      </c>
      <c r="G45" s="1">
        <v>44155</v>
      </c>
      <c r="H45" s="1">
        <v>44747</v>
      </c>
      <c r="I45" t="b">
        <v>1</v>
      </c>
      <c r="J45">
        <v>190.23</v>
      </c>
      <c r="K45" s="1">
        <v>45394</v>
      </c>
      <c r="L45">
        <v>79.83</v>
      </c>
      <c r="M45" s="1">
        <v>45756</v>
      </c>
      <c r="N45">
        <v>111.63</v>
      </c>
      <c r="O45" s="1">
        <v>46204</v>
      </c>
      <c r="P45">
        <v>1002</v>
      </c>
      <c r="Q45" t="s">
        <v>21</v>
      </c>
      <c r="R45" t="s">
        <v>810</v>
      </c>
    </row>
    <row r="46" spans="1:18" x14ac:dyDescent="0.35">
      <c r="A46" t="s">
        <v>378</v>
      </c>
      <c r="B46" t="s">
        <v>378</v>
      </c>
      <c r="C46" t="s">
        <v>379</v>
      </c>
      <c r="D46" t="s">
        <v>24</v>
      </c>
      <c r="E46">
        <v>1381</v>
      </c>
      <c r="F46" t="s">
        <v>380</v>
      </c>
      <c r="G46" s="1">
        <v>44834</v>
      </c>
      <c r="H46" s="1">
        <v>44834</v>
      </c>
      <c r="I46" t="b">
        <v>0</v>
      </c>
      <c r="J46">
        <v>55.34</v>
      </c>
      <c r="K46" s="1">
        <v>45174</v>
      </c>
      <c r="L46">
        <v>17.399999999999999</v>
      </c>
      <c r="M46" s="1">
        <v>45754</v>
      </c>
      <c r="N46">
        <v>37.08</v>
      </c>
      <c r="O46" s="1">
        <v>46204</v>
      </c>
      <c r="P46">
        <v>940</v>
      </c>
      <c r="Q46" t="s">
        <v>21</v>
      </c>
      <c r="R46" t="s">
        <v>810</v>
      </c>
    </row>
    <row r="47" spans="1:18" x14ac:dyDescent="0.35">
      <c r="A47" t="s">
        <v>782</v>
      </c>
      <c r="B47" t="s">
        <v>782</v>
      </c>
      <c r="C47" t="s">
        <v>783</v>
      </c>
      <c r="D47" t="s">
        <v>45</v>
      </c>
      <c r="E47">
        <v>6282</v>
      </c>
      <c r="F47" t="s">
        <v>49</v>
      </c>
      <c r="G47" s="1">
        <v>44490</v>
      </c>
      <c r="H47" s="1">
        <v>46064</v>
      </c>
      <c r="I47" t="b">
        <v>1</v>
      </c>
      <c r="J47">
        <v>11.29</v>
      </c>
      <c r="K47" s="1">
        <v>46064</v>
      </c>
      <c r="L47">
        <v>6.79</v>
      </c>
      <c r="M47" s="1">
        <v>46114</v>
      </c>
      <c r="N47">
        <v>7.86</v>
      </c>
      <c r="O47" s="1">
        <v>46204</v>
      </c>
      <c r="P47">
        <v>97</v>
      </c>
      <c r="Q47" t="s">
        <v>21</v>
      </c>
      <c r="R47" t="s">
        <v>810</v>
      </c>
    </row>
    <row r="48" spans="1:18" x14ac:dyDescent="0.35">
      <c r="A48" t="s">
        <v>759</v>
      </c>
      <c r="B48" t="s">
        <v>759</v>
      </c>
      <c r="C48" t="s">
        <v>760</v>
      </c>
      <c r="D48" t="s">
        <v>45</v>
      </c>
      <c r="E48">
        <v>7372</v>
      </c>
      <c r="F48" t="s">
        <v>20</v>
      </c>
      <c r="G48" s="1">
        <v>44189</v>
      </c>
      <c r="H48" s="1">
        <v>44379</v>
      </c>
      <c r="I48" t="b">
        <v>1</v>
      </c>
      <c r="J48">
        <v>27.5</v>
      </c>
      <c r="K48" s="1">
        <v>44516</v>
      </c>
      <c r="L48">
        <v>0.495</v>
      </c>
      <c r="M48" s="1">
        <v>45224</v>
      </c>
      <c r="N48">
        <v>15.98</v>
      </c>
      <c r="O48" s="1">
        <v>46204</v>
      </c>
      <c r="P48">
        <v>1254</v>
      </c>
      <c r="Q48" t="s">
        <v>21</v>
      </c>
      <c r="R48" t="s">
        <v>810</v>
      </c>
    </row>
    <row r="49" spans="1:18" x14ac:dyDescent="0.35">
      <c r="A49" t="s">
        <v>757</v>
      </c>
      <c r="B49" t="s">
        <v>757</v>
      </c>
      <c r="C49" t="s">
        <v>758</v>
      </c>
      <c r="D49" t="s">
        <v>45</v>
      </c>
      <c r="E49">
        <v>6331</v>
      </c>
      <c r="F49" t="s">
        <v>490</v>
      </c>
      <c r="G49" s="1">
        <v>45435</v>
      </c>
      <c r="H49" s="1">
        <v>45435</v>
      </c>
      <c r="I49" t="b">
        <v>0</v>
      </c>
      <c r="J49">
        <v>42.29</v>
      </c>
      <c r="K49" s="1">
        <v>45744</v>
      </c>
      <c r="L49">
        <v>21.21</v>
      </c>
      <c r="M49" s="1">
        <v>46101</v>
      </c>
      <c r="N49">
        <v>31.2</v>
      </c>
      <c r="O49" s="1">
        <v>46204</v>
      </c>
      <c r="P49">
        <v>527</v>
      </c>
      <c r="Q49" t="s">
        <v>21</v>
      </c>
      <c r="R49" t="s">
        <v>810</v>
      </c>
    </row>
    <row r="50" spans="1:18" x14ac:dyDescent="0.35">
      <c r="A50" t="s">
        <v>751</v>
      </c>
      <c r="B50" t="s">
        <v>752</v>
      </c>
      <c r="C50" t="s">
        <v>753</v>
      </c>
      <c r="D50" t="s">
        <v>45</v>
      </c>
      <c r="E50">
        <v>7372</v>
      </c>
      <c r="F50" t="s">
        <v>20</v>
      </c>
      <c r="G50" s="1">
        <v>44405</v>
      </c>
      <c r="H50" s="1">
        <v>44405</v>
      </c>
      <c r="I50" t="b">
        <v>0</v>
      </c>
      <c r="J50">
        <v>29</v>
      </c>
      <c r="K50" s="1">
        <v>44446</v>
      </c>
      <c r="L50">
        <v>12.49</v>
      </c>
      <c r="M50" s="1">
        <v>44873</v>
      </c>
      <c r="N50">
        <v>20.010000000000002</v>
      </c>
      <c r="O50" s="1">
        <v>45953</v>
      </c>
      <c r="P50">
        <v>1066</v>
      </c>
      <c r="Q50" t="s">
        <v>21</v>
      </c>
      <c r="R50" t="s">
        <v>810</v>
      </c>
    </row>
    <row r="51" spans="1:18" x14ac:dyDescent="0.35">
      <c r="A51" t="s">
        <v>77</v>
      </c>
      <c r="B51" t="s">
        <v>77</v>
      </c>
      <c r="C51" t="s">
        <v>78</v>
      </c>
      <c r="D51" t="s">
        <v>45</v>
      </c>
      <c r="E51">
        <v>6282</v>
      </c>
      <c r="F51" t="s">
        <v>49</v>
      </c>
      <c r="G51" s="1">
        <v>44336</v>
      </c>
      <c r="H51" s="1">
        <v>44379</v>
      </c>
      <c r="I51" t="b">
        <v>1</v>
      </c>
      <c r="J51">
        <v>26.725000000000001</v>
      </c>
      <c r="K51" s="1">
        <v>45681</v>
      </c>
      <c r="L51">
        <v>7.95</v>
      </c>
      <c r="M51" s="1">
        <v>46114</v>
      </c>
      <c r="N51">
        <v>8.64</v>
      </c>
      <c r="O51" s="1">
        <v>46204</v>
      </c>
      <c r="P51">
        <v>1254</v>
      </c>
      <c r="Q51" t="s">
        <v>21</v>
      </c>
      <c r="R51" t="s">
        <v>810</v>
      </c>
    </row>
    <row r="52" spans="1:18" x14ac:dyDescent="0.35">
      <c r="A52" t="s">
        <v>98</v>
      </c>
      <c r="B52" t="s">
        <v>98</v>
      </c>
      <c r="C52" t="s">
        <v>99</v>
      </c>
      <c r="D52" t="s">
        <v>45</v>
      </c>
      <c r="G52" s="1">
        <v>44056</v>
      </c>
      <c r="H52" s="1">
        <v>44379</v>
      </c>
      <c r="I52" t="b">
        <v>1</v>
      </c>
      <c r="J52">
        <v>47.33</v>
      </c>
      <c r="K52" s="1">
        <v>44379</v>
      </c>
      <c r="L52">
        <v>7.31</v>
      </c>
      <c r="M52" s="1">
        <v>44634</v>
      </c>
      <c r="N52">
        <v>15.05</v>
      </c>
      <c r="O52" s="1">
        <v>46204</v>
      </c>
      <c r="P52">
        <v>1254</v>
      </c>
      <c r="Q52" t="s">
        <v>21</v>
      </c>
      <c r="R52" t="s">
        <v>810</v>
      </c>
    </row>
    <row r="53" spans="1:18" x14ac:dyDescent="0.35">
      <c r="A53" t="s">
        <v>113</v>
      </c>
      <c r="B53" t="s">
        <v>113</v>
      </c>
      <c r="C53" t="s">
        <v>114</v>
      </c>
      <c r="D53" t="s">
        <v>45</v>
      </c>
      <c r="E53">
        <v>6141</v>
      </c>
      <c r="F53" t="s">
        <v>115</v>
      </c>
      <c r="G53" s="1">
        <v>44209</v>
      </c>
      <c r="H53" s="1">
        <v>44379</v>
      </c>
      <c r="I53" t="b">
        <v>1</v>
      </c>
      <c r="J53">
        <v>176.65</v>
      </c>
      <c r="K53" s="1">
        <v>44508</v>
      </c>
      <c r="L53">
        <v>8.6199999999999992</v>
      </c>
      <c r="M53" s="1">
        <v>44917</v>
      </c>
      <c r="N53">
        <v>83.85</v>
      </c>
      <c r="O53" s="1">
        <v>46204</v>
      </c>
      <c r="P53">
        <v>1254</v>
      </c>
      <c r="Q53" t="s">
        <v>21</v>
      </c>
      <c r="R53" t="s">
        <v>810</v>
      </c>
    </row>
    <row r="54" spans="1:18" x14ac:dyDescent="0.35">
      <c r="A54" t="s">
        <v>703</v>
      </c>
      <c r="B54" t="s">
        <v>703</v>
      </c>
      <c r="C54" t="s">
        <v>704</v>
      </c>
      <c r="D54" t="s">
        <v>45</v>
      </c>
      <c r="E54">
        <v>6798</v>
      </c>
      <c r="F54" t="s">
        <v>214</v>
      </c>
      <c r="G54" s="1">
        <v>44056</v>
      </c>
      <c r="H54" s="1">
        <v>44379</v>
      </c>
      <c r="I54" t="b">
        <v>1</v>
      </c>
      <c r="J54">
        <v>26.925000000000001</v>
      </c>
      <c r="K54" s="1">
        <v>44413</v>
      </c>
      <c r="L54">
        <v>13.42</v>
      </c>
      <c r="M54" s="1">
        <v>45667</v>
      </c>
      <c r="N54">
        <v>21.08</v>
      </c>
      <c r="O54" s="1">
        <v>46204</v>
      </c>
      <c r="P54">
        <v>1254</v>
      </c>
      <c r="Q54" t="s">
        <v>21</v>
      </c>
      <c r="R54" t="s">
        <v>810</v>
      </c>
    </row>
    <row r="55" spans="1:18" x14ac:dyDescent="0.35">
      <c r="A55" t="s">
        <v>692</v>
      </c>
      <c r="B55" t="s">
        <v>692</v>
      </c>
      <c r="C55" t="s">
        <v>693</v>
      </c>
      <c r="D55" t="s">
        <v>45</v>
      </c>
      <c r="E55">
        <v>7389</v>
      </c>
      <c r="F55" t="s">
        <v>38</v>
      </c>
      <c r="G55" s="1">
        <v>44342</v>
      </c>
      <c r="H55" s="1">
        <v>44379</v>
      </c>
      <c r="I55" t="b">
        <v>1</v>
      </c>
      <c r="J55">
        <v>57.41</v>
      </c>
      <c r="K55" s="1">
        <v>44483</v>
      </c>
      <c r="L55">
        <v>8.1999999999999993</v>
      </c>
      <c r="M55" s="1">
        <v>45758</v>
      </c>
      <c r="N55">
        <v>18.559999999999999</v>
      </c>
      <c r="O55" s="1">
        <v>46204</v>
      </c>
      <c r="P55">
        <v>1254</v>
      </c>
      <c r="Q55" t="s">
        <v>21</v>
      </c>
      <c r="R55" t="s">
        <v>810</v>
      </c>
    </row>
    <row r="56" spans="1:18" x14ac:dyDescent="0.35">
      <c r="A56" t="s">
        <v>133</v>
      </c>
      <c r="B56" t="s">
        <v>133</v>
      </c>
      <c r="C56" t="s">
        <v>134</v>
      </c>
      <c r="D56" t="s">
        <v>45</v>
      </c>
      <c r="G56" s="1">
        <v>43543</v>
      </c>
      <c r="H56" s="1">
        <v>45310</v>
      </c>
      <c r="I56" t="b">
        <v>1</v>
      </c>
      <c r="J56">
        <v>143.72</v>
      </c>
      <c r="K56" s="1">
        <v>45491</v>
      </c>
      <c r="L56">
        <v>68.59</v>
      </c>
      <c r="M56" s="1">
        <v>46094</v>
      </c>
      <c r="N56">
        <v>88.34</v>
      </c>
      <c r="O56" s="1">
        <v>46204</v>
      </c>
      <c r="P56">
        <v>614</v>
      </c>
      <c r="Q56" t="s">
        <v>21</v>
      </c>
      <c r="R56" t="s">
        <v>810</v>
      </c>
    </row>
    <row r="57" spans="1:18" x14ac:dyDescent="0.35">
      <c r="A57" t="s">
        <v>668</v>
      </c>
      <c r="B57" t="s">
        <v>668</v>
      </c>
      <c r="C57" t="s">
        <v>669</v>
      </c>
      <c r="D57" t="s">
        <v>45</v>
      </c>
      <c r="E57">
        <v>6199</v>
      </c>
      <c r="F57" t="s">
        <v>46</v>
      </c>
      <c r="G57" s="1">
        <v>44735</v>
      </c>
      <c r="H57" s="1">
        <v>44735</v>
      </c>
      <c r="I57" t="b">
        <v>0</v>
      </c>
      <c r="J57">
        <v>414</v>
      </c>
      <c r="K57" s="1">
        <v>44775</v>
      </c>
      <c r="L57">
        <v>6.8411999999999997</v>
      </c>
      <c r="M57" s="1">
        <v>44911</v>
      </c>
      <c r="N57">
        <v>18.77</v>
      </c>
      <c r="O57" s="1">
        <v>46204</v>
      </c>
      <c r="P57">
        <v>1009</v>
      </c>
      <c r="Q57" t="s">
        <v>21</v>
      </c>
      <c r="R57" t="s">
        <v>810</v>
      </c>
    </row>
    <row r="58" spans="1:18" x14ac:dyDescent="0.35">
      <c r="A58" t="s">
        <v>652</v>
      </c>
      <c r="B58" t="s">
        <v>652</v>
      </c>
      <c r="C58" t="s">
        <v>653</v>
      </c>
      <c r="D58" t="s">
        <v>45</v>
      </c>
      <c r="G58" s="1">
        <v>45315</v>
      </c>
      <c r="H58" s="1">
        <v>45315</v>
      </c>
      <c r="I58" t="b">
        <v>0</v>
      </c>
      <c r="J58">
        <v>24.18</v>
      </c>
      <c r="K58" s="1">
        <v>45464</v>
      </c>
      <c r="L58">
        <v>13.66</v>
      </c>
      <c r="M58" s="1">
        <v>46114</v>
      </c>
      <c r="N58">
        <v>15.25</v>
      </c>
      <c r="O58" s="1">
        <v>46204</v>
      </c>
      <c r="P58">
        <v>611</v>
      </c>
      <c r="Q58" t="s">
        <v>21</v>
      </c>
      <c r="R58" t="s">
        <v>810</v>
      </c>
    </row>
    <row r="59" spans="1:18" x14ac:dyDescent="0.35">
      <c r="A59" t="s">
        <v>578</v>
      </c>
      <c r="B59" t="s">
        <v>578</v>
      </c>
      <c r="C59" t="s">
        <v>579</v>
      </c>
      <c r="D59" t="s">
        <v>45</v>
      </c>
      <c r="G59" s="1">
        <v>44218</v>
      </c>
      <c r="H59" s="1">
        <v>44379</v>
      </c>
      <c r="I59" t="b">
        <v>1</v>
      </c>
      <c r="J59">
        <v>19.489899999999999</v>
      </c>
      <c r="K59" s="1">
        <v>44518</v>
      </c>
      <c r="L59">
        <v>9.43</v>
      </c>
      <c r="M59" s="1">
        <v>45756</v>
      </c>
      <c r="N59">
        <v>11</v>
      </c>
      <c r="O59" s="1">
        <v>46204</v>
      </c>
      <c r="P59">
        <v>1254</v>
      </c>
      <c r="Q59" t="s">
        <v>21</v>
      </c>
      <c r="R59" t="s">
        <v>810</v>
      </c>
    </row>
    <row r="60" spans="1:18" x14ac:dyDescent="0.35">
      <c r="A60" t="s">
        <v>208</v>
      </c>
      <c r="B60" t="s">
        <v>208</v>
      </c>
      <c r="C60" t="s">
        <v>209</v>
      </c>
      <c r="D60" t="s">
        <v>45</v>
      </c>
      <c r="E60">
        <v>7372</v>
      </c>
      <c r="F60" t="s">
        <v>20</v>
      </c>
      <c r="G60" s="1">
        <v>44336</v>
      </c>
      <c r="H60" s="1">
        <v>44379</v>
      </c>
      <c r="I60" t="b">
        <v>1</v>
      </c>
      <c r="J60">
        <v>108.75</v>
      </c>
      <c r="K60" s="1">
        <v>44410</v>
      </c>
      <c r="L60">
        <v>38.03</v>
      </c>
      <c r="M60" s="1">
        <v>46198</v>
      </c>
      <c r="N60">
        <v>42.14</v>
      </c>
      <c r="O60" s="1">
        <v>46204</v>
      </c>
      <c r="P60">
        <v>1254</v>
      </c>
      <c r="Q60" t="s">
        <v>21</v>
      </c>
      <c r="R60" t="s">
        <v>810</v>
      </c>
    </row>
    <row r="61" spans="1:18" x14ac:dyDescent="0.35">
      <c r="A61" t="s">
        <v>212</v>
      </c>
      <c r="B61" t="s">
        <v>212</v>
      </c>
      <c r="C61" t="s">
        <v>213</v>
      </c>
      <c r="D61" t="s">
        <v>45</v>
      </c>
      <c r="E61">
        <v>6798</v>
      </c>
      <c r="F61" t="s">
        <v>214</v>
      </c>
      <c r="G61" s="1">
        <v>45498</v>
      </c>
      <c r="H61" s="1">
        <v>45498</v>
      </c>
      <c r="I61" t="b">
        <v>0</v>
      </c>
      <c r="J61">
        <v>89.85</v>
      </c>
      <c r="K61" s="1">
        <v>45504</v>
      </c>
      <c r="L61">
        <v>31.33</v>
      </c>
      <c r="M61" s="1">
        <v>46111</v>
      </c>
      <c r="N61">
        <v>43.59</v>
      </c>
      <c r="O61" s="1">
        <v>46204</v>
      </c>
      <c r="P61">
        <v>485</v>
      </c>
      <c r="Q61" t="s">
        <v>21</v>
      </c>
      <c r="R61" t="s">
        <v>810</v>
      </c>
    </row>
    <row r="62" spans="1:18" x14ac:dyDescent="0.35">
      <c r="A62" t="s">
        <v>262</v>
      </c>
      <c r="B62" t="s">
        <v>262</v>
      </c>
      <c r="C62" t="s">
        <v>263</v>
      </c>
      <c r="D62" t="s">
        <v>45</v>
      </c>
      <c r="G62" s="1">
        <v>44497</v>
      </c>
      <c r="H62" s="1">
        <v>44497</v>
      </c>
      <c r="I62" t="b">
        <v>0</v>
      </c>
      <c r="J62">
        <v>38.32</v>
      </c>
      <c r="K62" s="1">
        <v>44557</v>
      </c>
      <c r="L62">
        <v>22</v>
      </c>
      <c r="M62" s="1">
        <v>44747</v>
      </c>
      <c r="N62">
        <v>23.85</v>
      </c>
      <c r="O62" s="1">
        <v>46204</v>
      </c>
      <c r="P62">
        <v>1172</v>
      </c>
      <c r="Q62" t="s">
        <v>21</v>
      </c>
      <c r="R62" t="s">
        <v>810</v>
      </c>
    </row>
    <row r="63" spans="1:18" x14ac:dyDescent="0.35">
      <c r="A63" t="s">
        <v>510</v>
      </c>
      <c r="B63" t="s">
        <v>510</v>
      </c>
      <c r="C63" t="s">
        <v>511</v>
      </c>
      <c r="D63" t="s">
        <v>45</v>
      </c>
      <c r="E63">
        <v>7372</v>
      </c>
      <c r="F63" t="s">
        <v>20</v>
      </c>
      <c r="G63" s="1">
        <v>44356</v>
      </c>
      <c r="H63" s="1">
        <v>44379</v>
      </c>
      <c r="I63" t="b">
        <v>1</v>
      </c>
      <c r="J63">
        <v>151.6</v>
      </c>
      <c r="K63" s="1">
        <v>44496</v>
      </c>
      <c r="L63">
        <v>13.48</v>
      </c>
      <c r="M63" s="1">
        <v>45601</v>
      </c>
      <c r="N63">
        <v>16.62</v>
      </c>
      <c r="O63" s="1">
        <v>46204</v>
      </c>
      <c r="P63">
        <v>1254</v>
      </c>
      <c r="Q63" t="s">
        <v>21</v>
      </c>
      <c r="R63" t="s">
        <v>810</v>
      </c>
    </row>
    <row r="64" spans="1:18" x14ac:dyDescent="0.35">
      <c r="A64" t="s">
        <v>290</v>
      </c>
      <c r="B64" t="s">
        <v>290</v>
      </c>
      <c r="C64" t="s">
        <v>291</v>
      </c>
      <c r="D64" t="s">
        <v>45</v>
      </c>
      <c r="E64">
        <v>7372</v>
      </c>
      <c r="F64" t="s">
        <v>20</v>
      </c>
      <c r="G64" s="1">
        <v>44410</v>
      </c>
      <c r="H64" s="1">
        <v>45961</v>
      </c>
      <c r="I64" t="b">
        <v>1</v>
      </c>
      <c r="J64">
        <v>9.44</v>
      </c>
      <c r="K64" s="1">
        <v>45961</v>
      </c>
      <c r="L64">
        <v>4.08</v>
      </c>
      <c r="M64" s="1">
        <v>46155</v>
      </c>
      <c r="N64">
        <v>5.38</v>
      </c>
      <c r="O64" s="1">
        <v>46204</v>
      </c>
      <c r="P64">
        <v>166</v>
      </c>
      <c r="Q64" t="s">
        <v>21</v>
      </c>
      <c r="R64" t="s">
        <v>810</v>
      </c>
    </row>
    <row r="65" spans="1:18" x14ac:dyDescent="0.35">
      <c r="A65" t="s">
        <v>292</v>
      </c>
      <c r="B65" t="s">
        <v>292</v>
      </c>
      <c r="C65" t="s">
        <v>293</v>
      </c>
      <c r="D65" t="s">
        <v>45</v>
      </c>
      <c r="E65">
        <v>6199</v>
      </c>
      <c r="F65" t="s">
        <v>46</v>
      </c>
      <c r="G65" s="1">
        <v>44181</v>
      </c>
      <c r="H65" s="1">
        <v>44379</v>
      </c>
      <c r="I65" t="b">
        <v>1</v>
      </c>
      <c r="J65">
        <v>401.48989999999998</v>
      </c>
      <c r="K65" s="1">
        <v>44484</v>
      </c>
      <c r="L65">
        <v>11.93</v>
      </c>
      <c r="M65" s="1">
        <v>45049</v>
      </c>
      <c r="N65">
        <v>35.74</v>
      </c>
      <c r="O65" s="1">
        <v>46204</v>
      </c>
      <c r="P65">
        <v>1254</v>
      </c>
      <c r="Q65" t="s">
        <v>21</v>
      </c>
      <c r="R65" t="s">
        <v>810</v>
      </c>
    </row>
    <row r="66" spans="1:18" x14ac:dyDescent="0.35">
      <c r="A66" t="s">
        <v>488</v>
      </c>
      <c r="B66" t="s">
        <v>488</v>
      </c>
      <c r="C66" t="s">
        <v>489</v>
      </c>
      <c r="D66" t="s">
        <v>45</v>
      </c>
      <c r="E66">
        <v>6331</v>
      </c>
      <c r="F66" t="s">
        <v>490</v>
      </c>
      <c r="G66" s="1">
        <v>44014</v>
      </c>
      <c r="H66" s="1">
        <v>44379</v>
      </c>
      <c r="I66" t="b">
        <v>1</v>
      </c>
      <c r="J66">
        <v>114.8</v>
      </c>
      <c r="K66" s="1">
        <v>44379</v>
      </c>
      <c r="L66">
        <v>10.265000000000001</v>
      </c>
      <c r="M66" s="1">
        <v>45229</v>
      </c>
      <c r="N66">
        <v>69.33</v>
      </c>
      <c r="O66" s="1">
        <v>46204</v>
      </c>
      <c r="P66">
        <v>1254</v>
      </c>
      <c r="Q66" t="s">
        <v>21</v>
      </c>
      <c r="R66" t="s">
        <v>810</v>
      </c>
    </row>
    <row r="67" spans="1:18" x14ac:dyDescent="0.35">
      <c r="A67" t="s">
        <v>469</v>
      </c>
      <c r="B67" t="s">
        <v>469</v>
      </c>
      <c r="C67" t="s">
        <v>470</v>
      </c>
      <c r="D67" t="s">
        <v>45</v>
      </c>
      <c r="E67">
        <v>6798</v>
      </c>
      <c r="F67" t="s">
        <v>214</v>
      </c>
      <c r="G67" s="1">
        <v>44091</v>
      </c>
      <c r="H67" s="1">
        <v>44379</v>
      </c>
      <c r="I67" t="b">
        <v>1</v>
      </c>
      <c r="J67">
        <v>28</v>
      </c>
      <c r="K67" s="1">
        <v>44442</v>
      </c>
      <c r="L67">
        <v>13.68</v>
      </c>
      <c r="M67" s="1">
        <v>45226</v>
      </c>
      <c r="N67">
        <v>20.78</v>
      </c>
      <c r="O67" s="1">
        <v>46204</v>
      </c>
      <c r="P67">
        <v>1254</v>
      </c>
      <c r="Q67" t="s">
        <v>21</v>
      </c>
      <c r="R67" t="s">
        <v>810</v>
      </c>
    </row>
    <row r="68" spans="1:18" x14ac:dyDescent="0.35">
      <c r="A68" t="s">
        <v>457</v>
      </c>
      <c r="B68" t="s">
        <v>457</v>
      </c>
      <c r="C68" t="s">
        <v>458</v>
      </c>
      <c r="D68" t="s">
        <v>45</v>
      </c>
      <c r="E68">
        <v>6199</v>
      </c>
      <c r="F68" t="s">
        <v>46</v>
      </c>
      <c r="G68" s="1">
        <v>44567</v>
      </c>
      <c r="H68" s="1">
        <v>44567</v>
      </c>
      <c r="I68" t="b">
        <v>0</v>
      </c>
      <c r="J68">
        <v>491.06880000000001</v>
      </c>
      <c r="K68" s="1">
        <v>44594</v>
      </c>
      <c r="L68">
        <v>4.4668000000000001</v>
      </c>
      <c r="M68" s="1">
        <v>45056</v>
      </c>
      <c r="N68">
        <v>383.13</v>
      </c>
      <c r="O68" s="1">
        <v>46204</v>
      </c>
      <c r="P68">
        <v>1124</v>
      </c>
      <c r="Q68" t="s">
        <v>21</v>
      </c>
      <c r="R68" t="s">
        <v>810</v>
      </c>
    </row>
    <row r="69" spans="1:18" x14ac:dyDescent="0.35">
      <c r="A69" t="s">
        <v>455</v>
      </c>
      <c r="B69" t="s">
        <v>455</v>
      </c>
      <c r="C69" t="s">
        <v>456</v>
      </c>
      <c r="D69" t="s">
        <v>45</v>
      </c>
      <c r="E69">
        <v>7372</v>
      </c>
      <c r="F69" t="s">
        <v>20</v>
      </c>
      <c r="G69" s="1">
        <v>44026</v>
      </c>
      <c r="H69" s="1">
        <v>44379</v>
      </c>
      <c r="I69" t="b">
        <v>1</v>
      </c>
      <c r="J69">
        <v>79.429900000000004</v>
      </c>
      <c r="K69" s="1">
        <v>44456</v>
      </c>
      <c r="L69">
        <v>13.8</v>
      </c>
      <c r="M69" s="1">
        <v>46076</v>
      </c>
      <c r="N69">
        <v>17.149999999999999</v>
      </c>
      <c r="O69" s="1">
        <v>46204</v>
      </c>
      <c r="P69">
        <v>1254</v>
      </c>
      <c r="Q69" t="s">
        <v>21</v>
      </c>
      <c r="R69" t="s">
        <v>810</v>
      </c>
    </row>
    <row r="70" spans="1:18" x14ac:dyDescent="0.35">
      <c r="A70" t="s">
        <v>441</v>
      </c>
      <c r="B70" t="s">
        <v>441</v>
      </c>
      <c r="C70" t="s">
        <v>442</v>
      </c>
      <c r="D70" t="s">
        <v>45</v>
      </c>
      <c r="G70" s="1">
        <v>44350</v>
      </c>
      <c r="H70" s="1">
        <v>44379</v>
      </c>
      <c r="I70" t="b">
        <v>1</v>
      </c>
      <c r="J70">
        <v>73.430000000000007</v>
      </c>
      <c r="K70" s="1">
        <v>44440</v>
      </c>
      <c r="L70">
        <v>6.5749000000000004</v>
      </c>
      <c r="M70" s="1">
        <v>45509</v>
      </c>
      <c r="N70">
        <v>14.67</v>
      </c>
      <c r="O70" s="1">
        <v>46204</v>
      </c>
      <c r="P70">
        <v>1254</v>
      </c>
      <c r="Q70" t="s">
        <v>21</v>
      </c>
      <c r="R70" t="s">
        <v>810</v>
      </c>
    </row>
    <row r="71" spans="1:18" x14ac:dyDescent="0.35">
      <c r="A71" t="s">
        <v>435</v>
      </c>
      <c r="B71" t="s">
        <v>435</v>
      </c>
      <c r="C71" t="s">
        <v>436</v>
      </c>
      <c r="D71" t="s">
        <v>45</v>
      </c>
      <c r="E71">
        <v>6531</v>
      </c>
      <c r="F71" t="s">
        <v>437</v>
      </c>
      <c r="G71" s="1">
        <v>44287</v>
      </c>
      <c r="H71" s="1">
        <v>44379</v>
      </c>
      <c r="I71" t="b">
        <v>1</v>
      </c>
      <c r="J71">
        <v>17.7</v>
      </c>
      <c r="K71" s="1">
        <v>44421</v>
      </c>
      <c r="L71">
        <v>1.8149999999999999</v>
      </c>
      <c r="M71" s="1">
        <v>45231</v>
      </c>
      <c r="N71">
        <v>12.55</v>
      </c>
      <c r="O71" s="1">
        <v>46204</v>
      </c>
      <c r="P71">
        <v>1254</v>
      </c>
      <c r="Q71" t="s">
        <v>21</v>
      </c>
      <c r="R71" t="s">
        <v>810</v>
      </c>
    </row>
    <row r="72" spans="1:18" x14ac:dyDescent="0.35">
      <c r="A72" t="s">
        <v>341</v>
      </c>
      <c r="B72" t="s">
        <v>341</v>
      </c>
      <c r="C72" t="s">
        <v>342</v>
      </c>
      <c r="D72" t="s">
        <v>45</v>
      </c>
      <c r="G72" s="1">
        <v>45758</v>
      </c>
      <c r="H72" s="1">
        <v>45758</v>
      </c>
      <c r="I72" t="b">
        <v>0</v>
      </c>
      <c r="J72">
        <v>79.56</v>
      </c>
      <c r="K72" s="1">
        <v>45761</v>
      </c>
      <c r="L72">
        <v>4.5</v>
      </c>
      <c r="M72" s="1">
        <v>46114</v>
      </c>
      <c r="N72">
        <v>7.18</v>
      </c>
      <c r="O72" s="1">
        <v>46204</v>
      </c>
      <c r="P72">
        <v>306</v>
      </c>
      <c r="Q72" t="s">
        <v>21</v>
      </c>
      <c r="R72" t="s">
        <v>810</v>
      </c>
    </row>
    <row r="73" spans="1:18" x14ac:dyDescent="0.35">
      <c r="A73" t="s">
        <v>406</v>
      </c>
      <c r="B73" t="s">
        <v>406</v>
      </c>
      <c r="C73" t="s">
        <v>407</v>
      </c>
      <c r="D73" t="s">
        <v>45</v>
      </c>
      <c r="E73">
        <v>7389</v>
      </c>
      <c r="F73" t="s">
        <v>38</v>
      </c>
      <c r="G73" s="1">
        <v>44462</v>
      </c>
      <c r="H73" s="1">
        <v>44462</v>
      </c>
      <c r="I73" t="b">
        <v>0</v>
      </c>
      <c r="J73">
        <v>53.65</v>
      </c>
      <c r="K73" s="1">
        <v>44462</v>
      </c>
      <c r="L73">
        <v>6.66</v>
      </c>
      <c r="M73" s="1">
        <v>44693</v>
      </c>
      <c r="N73">
        <v>22.95</v>
      </c>
      <c r="O73" s="1">
        <v>46204</v>
      </c>
      <c r="P73">
        <v>1197</v>
      </c>
      <c r="Q73" t="s">
        <v>21</v>
      </c>
      <c r="R73" t="s">
        <v>810</v>
      </c>
    </row>
    <row r="74" spans="1:18" x14ac:dyDescent="0.35">
      <c r="A74" t="s">
        <v>802</v>
      </c>
      <c r="B74" t="s">
        <v>803</v>
      </c>
      <c r="C74" t="s">
        <v>804</v>
      </c>
      <c r="D74" t="s">
        <v>68</v>
      </c>
      <c r="E74">
        <v>2834</v>
      </c>
      <c r="F74" t="s">
        <v>157</v>
      </c>
      <c r="G74" s="1">
        <v>44364</v>
      </c>
      <c r="H74" s="1">
        <v>44379</v>
      </c>
      <c r="I74" t="b">
        <v>1</v>
      </c>
      <c r="J74">
        <v>78</v>
      </c>
      <c r="K74" s="1">
        <v>44446</v>
      </c>
      <c r="L74">
        <v>2.8647</v>
      </c>
      <c r="M74" s="1">
        <v>45756</v>
      </c>
      <c r="N74">
        <v>11.13</v>
      </c>
      <c r="O74" s="1">
        <v>45862</v>
      </c>
      <c r="P74">
        <v>1019</v>
      </c>
      <c r="Q74" t="s">
        <v>21</v>
      </c>
      <c r="R74" t="s">
        <v>810</v>
      </c>
    </row>
    <row r="75" spans="1:18" x14ac:dyDescent="0.35">
      <c r="A75" t="s">
        <v>761</v>
      </c>
      <c r="B75" t="s">
        <v>762</v>
      </c>
      <c r="C75" t="s">
        <v>763</v>
      </c>
      <c r="D75" t="s">
        <v>68</v>
      </c>
      <c r="G75" s="1">
        <v>44057</v>
      </c>
      <c r="H75" s="1">
        <v>44379</v>
      </c>
      <c r="I75" t="b">
        <v>1</v>
      </c>
      <c r="J75">
        <v>75.680000000000007</v>
      </c>
      <c r="K75" s="1">
        <v>44434</v>
      </c>
      <c r="L75">
        <v>2.2149999999999999</v>
      </c>
      <c r="M75" s="1">
        <v>45407</v>
      </c>
      <c r="N75">
        <v>4.66</v>
      </c>
      <c r="O75" s="1">
        <v>46027</v>
      </c>
      <c r="P75">
        <v>1132</v>
      </c>
      <c r="Q75" t="s">
        <v>21</v>
      </c>
      <c r="R75" t="s">
        <v>810</v>
      </c>
    </row>
    <row r="76" spans="1:18" x14ac:dyDescent="0.35">
      <c r="A76" t="s">
        <v>694</v>
      </c>
      <c r="B76" t="s">
        <v>694</v>
      </c>
      <c r="C76" t="s">
        <v>695</v>
      </c>
      <c r="D76" t="s">
        <v>68</v>
      </c>
      <c r="E76">
        <v>2834</v>
      </c>
      <c r="F76" t="s">
        <v>157</v>
      </c>
      <c r="G76" s="1">
        <v>44827</v>
      </c>
      <c r="H76" s="1">
        <v>44827</v>
      </c>
      <c r="I76" t="b">
        <v>0</v>
      </c>
      <c r="J76">
        <v>152.56</v>
      </c>
      <c r="K76" s="1">
        <v>44831</v>
      </c>
      <c r="L76">
        <v>7.1</v>
      </c>
      <c r="M76" s="1">
        <v>44838</v>
      </c>
      <c r="N76">
        <v>15.76</v>
      </c>
      <c r="O76" s="1">
        <v>46204</v>
      </c>
      <c r="P76">
        <v>945</v>
      </c>
      <c r="Q76" t="s">
        <v>21</v>
      </c>
      <c r="R76" t="s">
        <v>810</v>
      </c>
    </row>
    <row r="77" spans="1:18" x14ac:dyDescent="0.35">
      <c r="A77" t="s">
        <v>631</v>
      </c>
      <c r="B77" t="s">
        <v>631</v>
      </c>
      <c r="C77" t="s">
        <v>632</v>
      </c>
      <c r="D77" t="s">
        <v>68</v>
      </c>
      <c r="E77">
        <v>2834</v>
      </c>
      <c r="F77" t="s">
        <v>157</v>
      </c>
      <c r="G77" s="1">
        <v>44062</v>
      </c>
      <c r="H77" s="1">
        <v>44379</v>
      </c>
      <c r="I77" t="b">
        <v>1</v>
      </c>
      <c r="J77">
        <v>62.085000000000001</v>
      </c>
      <c r="K77" s="1">
        <v>44900</v>
      </c>
      <c r="L77">
        <v>18.6112</v>
      </c>
      <c r="M77" s="1">
        <v>45212</v>
      </c>
      <c r="N77">
        <v>36</v>
      </c>
      <c r="O77" s="1">
        <v>46204</v>
      </c>
      <c r="P77">
        <v>1254</v>
      </c>
      <c r="Q77" t="s">
        <v>21</v>
      </c>
      <c r="R77" t="s">
        <v>810</v>
      </c>
    </row>
    <row r="78" spans="1:18" x14ac:dyDescent="0.35">
      <c r="A78" t="s">
        <v>629</v>
      </c>
      <c r="B78" t="s">
        <v>629</v>
      </c>
      <c r="C78" t="s">
        <v>630</v>
      </c>
      <c r="D78" t="s">
        <v>68</v>
      </c>
      <c r="E78">
        <v>7372</v>
      </c>
      <c r="F78" t="s">
        <v>20</v>
      </c>
      <c r="G78" s="1">
        <v>44176</v>
      </c>
      <c r="H78" s="1">
        <v>44379</v>
      </c>
      <c r="I78" t="b">
        <v>1</v>
      </c>
      <c r="J78">
        <v>45.48</v>
      </c>
      <c r="K78" s="1">
        <v>44504</v>
      </c>
      <c r="L78">
        <v>4.45</v>
      </c>
      <c r="M78" s="1">
        <v>46157</v>
      </c>
      <c r="N78">
        <v>6.73</v>
      </c>
      <c r="O78" s="1">
        <v>46204</v>
      </c>
      <c r="P78">
        <v>1254</v>
      </c>
      <c r="Q78" t="s">
        <v>21</v>
      </c>
      <c r="R78" t="s">
        <v>810</v>
      </c>
    </row>
    <row r="79" spans="1:18" x14ac:dyDescent="0.35">
      <c r="A79" t="s">
        <v>615</v>
      </c>
      <c r="B79" t="s">
        <v>615</v>
      </c>
      <c r="C79" t="s">
        <v>616</v>
      </c>
      <c r="D79" t="s">
        <v>68</v>
      </c>
      <c r="E79">
        <v>2836</v>
      </c>
      <c r="F79" t="s">
        <v>418</v>
      </c>
      <c r="G79" s="1">
        <v>44302</v>
      </c>
      <c r="H79" s="1">
        <v>44379</v>
      </c>
      <c r="I79" t="b">
        <v>1</v>
      </c>
      <c r="J79">
        <v>42.81</v>
      </c>
      <c r="K79" s="1">
        <v>44390</v>
      </c>
      <c r="L79">
        <v>2.77</v>
      </c>
      <c r="M79" s="1">
        <v>46161</v>
      </c>
      <c r="N79">
        <v>3.67</v>
      </c>
      <c r="O79" s="1">
        <v>46204</v>
      </c>
      <c r="P79">
        <v>1254</v>
      </c>
      <c r="Q79" t="s">
        <v>21</v>
      </c>
      <c r="R79" t="s">
        <v>810</v>
      </c>
    </row>
    <row r="80" spans="1:18" x14ac:dyDescent="0.35">
      <c r="A80" t="s">
        <v>191</v>
      </c>
      <c r="B80" t="s">
        <v>191</v>
      </c>
      <c r="C80" t="s">
        <v>192</v>
      </c>
      <c r="D80" t="s">
        <v>68</v>
      </c>
      <c r="E80">
        <v>7371</v>
      </c>
      <c r="F80" t="s">
        <v>193</v>
      </c>
      <c r="G80" s="1">
        <v>44371</v>
      </c>
      <c r="H80" s="1">
        <v>44379</v>
      </c>
      <c r="I80" t="b">
        <v>1</v>
      </c>
      <c r="J80">
        <v>107.79</v>
      </c>
      <c r="K80" s="1">
        <v>44449</v>
      </c>
      <c r="L80">
        <v>17.149999999999999</v>
      </c>
      <c r="M80" s="1">
        <v>46156</v>
      </c>
      <c r="N80">
        <v>21.59</v>
      </c>
      <c r="O80" s="1">
        <v>46204</v>
      </c>
      <c r="P80">
        <v>1254</v>
      </c>
      <c r="Q80" t="s">
        <v>21</v>
      </c>
      <c r="R80" t="s">
        <v>810</v>
      </c>
    </row>
    <row r="81" spans="1:18" x14ac:dyDescent="0.35">
      <c r="A81" t="s">
        <v>532</v>
      </c>
      <c r="B81" t="s">
        <v>532</v>
      </c>
      <c r="C81" t="s">
        <v>533</v>
      </c>
      <c r="D81" t="s">
        <v>68</v>
      </c>
      <c r="E81">
        <v>2834</v>
      </c>
      <c r="F81" t="s">
        <v>157</v>
      </c>
      <c r="G81" s="1">
        <v>44330</v>
      </c>
      <c r="H81" s="1">
        <v>44379</v>
      </c>
      <c r="I81" t="b">
        <v>1</v>
      </c>
      <c r="J81">
        <v>39.475000000000001</v>
      </c>
      <c r="K81" s="1">
        <v>44622</v>
      </c>
      <c r="L81">
        <v>5.69</v>
      </c>
      <c r="M81" s="1">
        <v>46111</v>
      </c>
      <c r="N81">
        <v>13.53</v>
      </c>
      <c r="O81" s="1">
        <v>46204</v>
      </c>
      <c r="P81">
        <v>1254</v>
      </c>
      <c r="Q81" t="s">
        <v>21</v>
      </c>
      <c r="R81" t="s">
        <v>810</v>
      </c>
    </row>
    <row r="82" spans="1:18" x14ac:dyDescent="0.35">
      <c r="A82" t="s">
        <v>269</v>
      </c>
      <c r="B82" t="s">
        <v>269</v>
      </c>
      <c r="C82" t="s">
        <v>270</v>
      </c>
      <c r="D82" t="s">
        <v>68</v>
      </c>
      <c r="E82">
        <v>7373</v>
      </c>
      <c r="F82" t="s">
        <v>102</v>
      </c>
      <c r="G82" s="1">
        <v>45450</v>
      </c>
      <c r="H82" s="1">
        <v>45450</v>
      </c>
      <c r="I82" t="b">
        <v>0</v>
      </c>
      <c r="J82">
        <v>48.11</v>
      </c>
      <c r="K82" s="1">
        <v>45706</v>
      </c>
      <c r="L82">
        <v>17.260000000000002</v>
      </c>
      <c r="M82" s="1">
        <v>46195</v>
      </c>
      <c r="N82">
        <v>21.43</v>
      </c>
      <c r="O82" s="1">
        <v>46204</v>
      </c>
      <c r="P82">
        <v>517</v>
      </c>
      <c r="Q82" t="s">
        <v>21</v>
      </c>
      <c r="R82" t="s">
        <v>810</v>
      </c>
    </row>
    <row r="83" spans="1:18" x14ac:dyDescent="0.35">
      <c r="A83" t="s">
        <v>271</v>
      </c>
      <c r="B83" t="s">
        <v>271</v>
      </c>
      <c r="C83" t="s">
        <v>272</v>
      </c>
      <c r="D83" t="s">
        <v>68</v>
      </c>
      <c r="G83" s="1">
        <v>44393</v>
      </c>
      <c r="H83" s="1">
        <v>44393</v>
      </c>
      <c r="I83" t="b">
        <v>0</v>
      </c>
      <c r="J83">
        <v>36.299999999999997</v>
      </c>
      <c r="K83" s="1">
        <v>45147</v>
      </c>
      <c r="L83">
        <v>12.89</v>
      </c>
      <c r="M83" s="1">
        <v>46108</v>
      </c>
      <c r="N83">
        <v>18.34</v>
      </c>
      <c r="O83" s="1">
        <v>46204</v>
      </c>
      <c r="P83">
        <v>1245</v>
      </c>
      <c r="Q83" t="s">
        <v>21</v>
      </c>
      <c r="R83" t="s">
        <v>810</v>
      </c>
    </row>
    <row r="84" spans="1:18" x14ac:dyDescent="0.35">
      <c r="A84" t="s">
        <v>521</v>
      </c>
      <c r="B84" t="s">
        <v>521</v>
      </c>
      <c r="C84" t="s">
        <v>522</v>
      </c>
      <c r="D84" t="s">
        <v>68</v>
      </c>
      <c r="E84">
        <v>8000</v>
      </c>
      <c r="F84" t="s">
        <v>523</v>
      </c>
      <c r="G84" s="1">
        <v>44315</v>
      </c>
      <c r="H84" s="1">
        <v>44379</v>
      </c>
      <c r="I84" t="b">
        <v>1</v>
      </c>
      <c r="J84">
        <v>47.77</v>
      </c>
      <c r="K84" s="1">
        <v>44400</v>
      </c>
      <c r="L84">
        <v>15.92</v>
      </c>
      <c r="M84" s="1">
        <v>45433</v>
      </c>
      <c r="N84">
        <v>26.88</v>
      </c>
      <c r="O84" s="1">
        <v>46204</v>
      </c>
      <c r="P84">
        <v>1254</v>
      </c>
      <c r="Q84" t="s">
        <v>21</v>
      </c>
      <c r="R84" t="s">
        <v>810</v>
      </c>
    </row>
    <row r="85" spans="1:18" x14ac:dyDescent="0.35">
      <c r="A85" t="s">
        <v>450</v>
      </c>
      <c r="B85" t="s">
        <v>450</v>
      </c>
      <c r="C85" t="s">
        <v>451</v>
      </c>
      <c r="D85" t="s">
        <v>68</v>
      </c>
      <c r="E85">
        <v>8090</v>
      </c>
      <c r="F85" t="s">
        <v>452</v>
      </c>
      <c r="G85" s="1">
        <v>44155</v>
      </c>
      <c r="H85" s="1">
        <v>44379</v>
      </c>
      <c r="I85" t="b">
        <v>1</v>
      </c>
      <c r="J85">
        <v>27.38</v>
      </c>
      <c r="K85" s="1">
        <v>44504</v>
      </c>
      <c r="L85">
        <v>5.78</v>
      </c>
      <c r="M85" s="1">
        <v>44874</v>
      </c>
      <c r="N85">
        <v>17.75</v>
      </c>
      <c r="O85" s="1">
        <v>46204</v>
      </c>
      <c r="P85">
        <v>1254</v>
      </c>
      <c r="Q85" t="s">
        <v>21</v>
      </c>
      <c r="R85" t="s">
        <v>810</v>
      </c>
    </row>
    <row r="86" spans="1:18" x14ac:dyDescent="0.35">
      <c r="A86" t="s">
        <v>365</v>
      </c>
      <c r="B86" t="s">
        <v>365</v>
      </c>
      <c r="C86" t="s">
        <v>366</v>
      </c>
      <c r="D86" t="s">
        <v>68</v>
      </c>
      <c r="E86">
        <v>3851</v>
      </c>
      <c r="F86" t="s">
        <v>367</v>
      </c>
      <c r="G86" s="1">
        <v>44687</v>
      </c>
      <c r="H86" s="1">
        <v>44687</v>
      </c>
      <c r="I86" t="b">
        <v>0</v>
      </c>
      <c r="J86">
        <v>21.95</v>
      </c>
      <c r="K86" s="1">
        <v>45107</v>
      </c>
      <c r="L86">
        <v>10.45</v>
      </c>
      <c r="M86" s="1">
        <v>45777</v>
      </c>
      <c r="N86">
        <v>16.55</v>
      </c>
      <c r="O86" s="1">
        <v>46204</v>
      </c>
      <c r="P86">
        <v>1041</v>
      </c>
      <c r="Q86" t="s">
        <v>21</v>
      </c>
      <c r="R86" t="s">
        <v>810</v>
      </c>
    </row>
    <row r="87" spans="1:18" x14ac:dyDescent="0.35">
      <c r="A87" t="s">
        <v>784</v>
      </c>
      <c r="B87" t="s">
        <v>784</v>
      </c>
      <c r="C87" t="s">
        <v>785</v>
      </c>
      <c r="D87" t="s">
        <v>30</v>
      </c>
      <c r="E87">
        <v>3690</v>
      </c>
      <c r="F87" t="s">
        <v>412</v>
      </c>
      <c r="G87" s="1">
        <v>44497</v>
      </c>
      <c r="H87" s="1">
        <v>44497</v>
      </c>
      <c r="I87" t="b">
        <v>0</v>
      </c>
      <c r="J87">
        <v>39.4</v>
      </c>
      <c r="K87" s="1">
        <v>44515</v>
      </c>
      <c r="L87">
        <v>3.46</v>
      </c>
      <c r="M87" s="1">
        <v>45768</v>
      </c>
      <c r="N87">
        <v>18.36</v>
      </c>
      <c r="O87" s="1">
        <v>46204</v>
      </c>
      <c r="P87">
        <v>1172</v>
      </c>
      <c r="Q87" t="s">
        <v>21</v>
      </c>
      <c r="R87" t="s">
        <v>810</v>
      </c>
    </row>
    <row r="88" spans="1:18" x14ac:dyDescent="0.35">
      <c r="A88" t="s">
        <v>735</v>
      </c>
      <c r="B88" t="s">
        <v>735</v>
      </c>
      <c r="C88" t="s">
        <v>736</v>
      </c>
      <c r="D88" t="s">
        <v>30</v>
      </c>
      <c r="E88">
        <v>3569</v>
      </c>
      <c r="F88" t="s">
        <v>108</v>
      </c>
      <c r="G88" s="1">
        <v>44267</v>
      </c>
      <c r="H88" s="1">
        <v>44379</v>
      </c>
      <c r="I88" t="b">
        <v>1</v>
      </c>
      <c r="J88">
        <v>125.8</v>
      </c>
      <c r="K88" s="1">
        <v>44389</v>
      </c>
      <c r="L88">
        <v>3.21</v>
      </c>
      <c r="M88" s="1">
        <v>45042</v>
      </c>
      <c r="N88">
        <v>60.02</v>
      </c>
      <c r="O88" s="1">
        <v>46204</v>
      </c>
      <c r="P88">
        <v>1254</v>
      </c>
      <c r="Q88" t="s">
        <v>21</v>
      </c>
      <c r="R88" t="s">
        <v>810</v>
      </c>
    </row>
    <row r="89" spans="1:18" x14ac:dyDescent="0.35">
      <c r="A89" t="s">
        <v>656</v>
      </c>
      <c r="B89" t="s">
        <v>656</v>
      </c>
      <c r="C89" t="s">
        <v>657</v>
      </c>
      <c r="D89" t="s">
        <v>30</v>
      </c>
      <c r="E89">
        <v>7372</v>
      </c>
      <c r="F89" t="s">
        <v>20</v>
      </c>
      <c r="G89" s="1">
        <v>44538</v>
      </c>
      <c r="H89" s="1">
        <v>44538</v>
      </c>
      <c r="I89" t="b">
        <v>0</v>
      </c>
      <c r="J89">
        <v>16.12</v>
      </c>
      <c r="K89" s="1">
        <v>44657</v>
      </c>
      <c r="L89">
        <v>0.57999999999999996</v>
      </c>
      <c r="M89" s="1">
        <v>44925</v>
      </c>
      <c r="N89">
        <v>3.64</v>
      </c>
      <c r="O89" s="1">
        <v>46204</v>
      </c>
      <c r="P89">
        <v>1144</v>
      </c>
      <c r="Q89" t="s">
        <v>21</v>
      </c>
      <c r="R89" t="s">
        <v>810</v>
      </c>
    </row>
    <row r="90" spans="1:18" x14ac:dyDescent="0.35">
      <c r="A90" t="s">
        <v>173</v>
      </c>
      <c r="B90" t="s">
        <v>173</v>
      </c>
      <c r="C90" t="s">
        <v>174</v>
      </c>
      <c r="D90" t="s">
        <v>30</v>
      </c>
      <c r="G90" s="1">
        <v>44369</v>
      </c>
      <c r="H90" s="1">
        <v>44379</v>
      </c>
      <c r="I90" t="b">
        <v>1</v>
      </c>
      <c r="J90">
        <v>19.71</v>
      </c>
      <c r="K90" s="1">
        <v>44379</v>
      </c>
      <c r="L90">
        <v>4.12</v>
      </c>
      <c r="M90" s="1">
        <v>44634</v>
      </c>
      <c r="N90">
        <v>8.4600000000000009</v>
      </c>
      <c r="O90" s="1">
        <v>46204</v>
      </c>
      <c r="P90">
        <v>1254</v>
      </c>
      <c r="Q90" t="s">
        <v>21</v>
      </c>
      <c r="R90" t="s">
        <v>810</v>
      </c>
    </row>
    <row r="91" spans="1:18" x14ac:dyDescent="0.35">
      <c r="A91" t="s">
        <v>621</v>
      </c>
      <c r="B91" t="s">
        <v>621</v>
      </c>
      <c r="C91" t="s">
        <v>622</v>
      </c>
      <c r="D91" t="s">
        <v>30</v>
      </c>
      <c r="E91">
        <v>3812</v>
      </c>
      <c r="F91" t="s">
        <v>183</v>
      </c>
      <c r="G91" s="1">
        <v>44971</v>
      </c>
      <c r="H91" s="1">
        <v>44971</v>
      </c>
      <c r="I91" t="b">
        <v>0</v>
      </c>
      <c r="J91">
        <v>136</v>
      </c>
      <c r="K91" s="1">
        <v>44979</v>
      </c>
      <c r="L91">
        <v>2.0893999999999999</v>
      </c>
      <c r="M91" s="1">
        <v>45295</v>
      </c>
      <c r="N91">
        <v>20.2</v>
      </c>
      <c r="O91" s="1">
        <v>46204</v>
      </c>
      <c r="P91">
        <v>847</v>
      </c>
      <c r="Q91" t="s">
        <v>21</v>
      </c>
      <c r="R91" t="s">
        <v>810</v>
      </c>
    </row>
    <row r="92" spans="1:18" x14ac:dyDescent="0.35">
      <c r="A92" t="s">
        <v>608</v>
      </c>
      <c r="B92" t="s">
        <v>608</v>
      </c>
      <c r="C92" t="s">
        <v>609</v>
      </c>
      <c r="D92" t="s">
        <v>30</v>
      </c>
      <c r="G92" s="1">
        <v>44224</v>
      </c>
      <c r="H92" s="1">
        <v>44379</v>
      </c>
      <c r="I92" t="b">
        <v>1</v>
      </c>
      <c r="J92">
        <v>91.23</v>
      </c>
      <c r="K92" s="1">
        <v>44637</v>
      </c>
      <c r="L92">
        <v>6.39</v>
      </c>
      <c r="M92" s="1">
        <v>45258</v>
      </c>
      <c r="N92">
        <v>25.23</v>
      </c>
      <c r="O92" s="1">
        <v>46204</v>
      </c>
      <c r="P92">
        <v>1254</v>
      </c>
      <c r="Q92" t="s">
        <v>21</v>
      </c>
      <c r="R92" t="s">
        <v>810</v>
      </c>
    </row>
    <row r="93" spans="1:18" x14ac:dyDescent="0.35">
      <c r="A93" t="s">
        <v>540</v>
      </c>
      <c r="B93" t="s">
        <v>540</v>
      </c>
      <c r="C93" t="s">
        <v>541</v>
      </c>
      <c r="D93" t="s">
        <v>30</v>
      </c>
      <c r="E93">
        <v>4700</v>
      </c>
      <c r="F93" t="s">
        <v>300</v>
      </c>
      <c r="G93" s="1">
        <v>44861</v>
      </c>
      <c r="H93" s="1">
        <v>44866</v>
      </c>
      <c r="I93" t="b">
        <v>1</v>
      </c>
      <c r="J93">
        <v>32.82</v>
      </c>
      <c r="K93" s="1">
        <v>45504</v>
      </c>
      <c r="L93">
        <v>10.425000000000001</v>
      </c>
      <c r="M93" s="1">
        <v>45979</v>
      </c>
      <c r="N93">
        <v>27.74</v>
      </c>
      <c r="O93" s="1">
        <v>46204</v>
      </c>
      <c r="P93">
        <v>918</v>
      </c>
      <c r="Q93" t="s">
        <v>21</v>
      </c>
      <c r="R93" t="s">
        <v>810</v>
      </c>
    </row>
    <row r="94" spans="1:18" x14ac:dyDescent="0.35">
      <c r="A94" t="s">
        <v>538</v>
      </c>
      <c r="B94" t="s">
        <v>538</v>
      </c>
      <c r="C94" t="s">
        <v>539</v>
      </c>
      <c r="D94" t="s">
        <v>30</v>
      </c>
      <c r="G94" s="1">
        <v>45590</v>
      </c>
      <c r="H94" s="1">
        <v>45590</v>
      </c>
      <c r="I94" t="b">
        <v>0</v>
      </c>
      <c r="J94">
        <v>44</v>
      </c>
      <c r="K94" s="1">
        <v>45706</v>
      </c>
      <c r="L94">
        <v>5.18</v>
      </c>
      <c r="M94" s="1">
        <v>46199</v>
      </c>
      <c r="N94">
        <v>5.71</v>
      </c>
      <c r="O94" s="1">
        <v>46204</v>
      </c>
      <c r="P94">
        <v>420</v>
      </c>
      <c r="Q94" t="s">
        <v>21</v>
      </c>
      <c r="R94" t="s">
        <v>810</v>
      </c>
    </row>
    <row r="95" spans="1:18" x14ac:dyDescent="0.35">
      <c r="A95" t="s">
        <v>298</v>
      </c>
      <c r="B95" t="s">
        <v>298</v>
      </c>
      <c r="C95" t="s">
        <v>299</v>
      </c>
      <c r="D95" t="s">
        <v>30</v>
      </c>
      <c r="E95">
        <v>4700</v>
      </c>
      <c r="F95" t="s">
        <v>300</v>
      </c>
      <c r="G95" s="1">
        <v>44399</v>
      </c>
      <c r="H95" s="1">
        <v>44410</v>
      </c>
      <c r="I95" t="b">
        <v>1</v>
      </c>
      <c r="J95">
        <v>105.92</v>
      </c>
      <c r="K95" s="1">
        <v>44518</v>
      </c>
      <c r="L95">
        <v>30.46</v>
      </c>
      <c r="M95" s="1">
        <v>45756</v>
      </c>
      <c r="N95">
        <v>51.28</v>
      </c>
      <c r="O95" s="1">
        <v>46204</v>
      </c>
      <c r="P95">
        <v>1234</v>
      </c>
      <c r="Q95" t="s">
        <v>21</v>
      </c>
      <c r="R95" t="s">
        <v>810</v>
      </c>
    </row>
    <row r="96" spans="1:18" x14ac:dyDescent="0.35">
      <c r="A96" t="s">
        <v>410</v>
      </c>
      <c r="B96" t="s">
        <v>410</v>
      </c>
      <c r="C96" t="s">
        <v>411</v>
      </c>
      <c r="D96" t="s">
        <v>30</v>
      </c>
      <c r="E96">
        <v>3690</v>
      </c>
      <c r="F96" t="s">
        <v>412</v>
      </c>
      <c r="G96" s="1">
        <v>44162</v>
      </c>
      <c r="H96" s="1">
        <v>44379</v>
      </c>
      <c r="I96" t="b">
        <v>1</v>
      </c>
      <c r="J96">
        <v>43.08</v>
      </c>
      <c r="K96" s="1">
        <v>44515</v>
      </c>
      <c r="L96">
        <v>3.4</v>
      </c>
      <c r="M96" s="1">
        <v>45755</v>
      </c>
      <c r="N96">
        <v>7.61</v>
      </c>
      <c r="O96" s="1">
        <v>46204</v>
      </c>
      <c r="P96">
        <v>1254</v>
      </c>
      <c r="Q96" t="s">
        <v>21</v>
      </c>
      <c r="R96" t="s">
        <v>810</v>
      </c>
    </row>
    <row r="97" spans="1:18" x14ac:dyDescent="0.35">
      <c r="A97" t="s">
        <v>698</v>
      </c>
      <c r="B97" t="s">
        <v>698</v>
      </c>
      <c r="C97" t="s">
        <v>699</v>
      </c>
      <c r="D97" t="s">
        <v>105</v>
      </c>
      <c r="E97">
        <v>3420</v>
      </c>
      <c r="F97" t="s">
        <v>700</v>
      </c>
      <c r="G97" s="1">
        <v>44392</v>
      </c>
      <c r="H97" s="1">
        <v>44392</v>
      </c>
      <c r="I97" t="b">
        <v>0</v>
      </c>
      <c r="J97">
        <v>13.46</v>
      </c>
      <c r="K97" s="1">
        <v>44421</v>
      </c>
      <c r="L97">
        <v>6.02</v>
      </c>
      <c r="M97" s="1">
        <v>45238</v>
      </c>
      <c r="N97">
        <v>8.14</v>
      </c>
      <c r="O97" s="1">
        <v>46204</v>
      </c>
      <c r="P97">
        <v>1246</v>
      </c>
      <c r="Q97" t="s">
        <v>21</v>
      </c>
      <c r="R97" t="s">
        <v>810</v>
      </c>
    </row>
    <row r="98" spans="1:18" x14ac:dyDescent="0.35">
      <c r="A98" t="s">
        <v>534</v>
      </c>
      <c r="B98" t="s">
        <v>534</v>
      </c>
      <c r="C98" t="s">
        <v>535</v>
      </c>
      <c r="D98" t="s">
        <v>105</v>
      </c>
      <c r="E98">
        <v>1000</v>
      </c>
      <c r="F98" t="s">
        <v>329</v>
      </c>
      <c r="G98" s="1">
        <v>44449</v>
      </c>
      <c r="H98" s="1">
        <v>44449</v>
      </c>
      <c r="I98" t="b">
        <v>0</v>
      </c>
      <c r="J98">
        <v>15.39</v>
      </c>
      <c r="K98" s="1">
        <v>44452</v>
      </c>
      <c r="L98">
        <v>0.51100000000000001</v>
      </c>
      <c r="M98" s="1">
        <v>44918</v>
      </c>
      <c r="N98">
        <v>4.3600000000000003</v>
      </c>
      <c r="O98" s="1">
        <v>46204</v>
      </c>
      <c r="P98">
        <v>1206</v>
      </c>
      <c r="Q98" t="s">
        <v>21</v>
      </c>
      <c r="R98" t="s">
        <v>810</v>
      </c>
    </row>
    <row r="99" spans="1:18" x14ac:dyDescent="0.35">
      <c r="A99" t="s">
        <v>797</v>
      </c>
      <c r="B99" t="s">
        <v>797</v>
      </c>
      <c r="C99" t="s">
        <v>798</v>
      </c>
      <c r="D99" t="s">
        <v>27</v>
      </c>
      <c r="E99">
        <v>3577</v>
      </c>
      <c r="F99" t="s">
        <v>799</v>
      </c>
      <c r="G99" s="1">
        <v>44396</v>
      </c>
      <c r="H99" s="1">
        <v>44396</v>
      </c>
      <c r="I99" t="b">
        <v>0</v>
      </c>
      <c r="J99">
        <v>12.9</v>
      </c>
      <c r="K99" s="1">
        <v>44396</v>
      </c>
      <c r="L99">
        <v>1.57</v>
      </c>
      <c r="M99" s="1">
        <v>44635</v>
      </c>
      <c r="N99">
        <v>6.37</v>
      </c>
      <c r="O99" s="1">
        <v>46204</v>
      </c>
      <c r="P99">
        <v>1244</v>
      </c>
      <c r="Q99" t="s">
        <v>21</v>
      </c>
      <c r="R99" t="s">
        <v>810</v>
      </c>
    </row>
    <row r="100" spans="1:18" x14ac:dyDescent="0.35">
      <c r="A100" t="s">
        <v>793</v>
      </c>
      <c r="B100" t="s">
        <v>794</v>
      </c>
      <c r="C100" t="s">
        <v>795</v>
      </c>
      <c r="D100" t="s">
        <v>27</v>
      </c>
      <c r="E100">
        <v>8200</v>
      </c>
      <c r="F100" t="s">
        <v>796</v>
      </c>
      <c r="G100" s="1">
        <v>44498</v>
      </c>
      <c r="H100" s="1">
        <v>44498</v>
      </c>
      <c r="I100" t="b">
        <v>0</v>
      </c>
      <c r="J100">
        <v>32.619999999999997</v>
      </c>
      <c r="K100" s="1">
        <v>44519</v>
      </c>
      <c r="L100">
        <v>4.0199999999999996</v>
      </c>
      <c r="M100" s="1">
        <v>46136</v>
      </c>
      <c r="N100">
        <v>4.63</v>
      </c>
      <c r="O100" s="1">
        <v>46150</v>
      </c>
      <c r="P100">
        <v>1135</v>
      </c>
      <c r="Q100" t="s">
        <v>21</v>
      </c>
      <c r="R100" t="s">
        <v>810</v>
      </c>
    </row>
    <row r="101" spans="1:18" x14ac:dyDescent="0.35">
      <c r="A101" t="s">
        <v>788</v>
      </c>
      <c r="B101" t="s">
        <v>788</v>
      </c>
      <c r="C101" t="s">
        <v>789</v>
      </c>
      <c r="D101" t="s">
        <v>27</v>
      </c>
      <c r="E101">
        <v>7310</v>
      </c>
      <c r="F101" t="s">
        <v>790</v>
      </c>
      <c r="G101" s="1">
        <v>45400</v>
      </c>
      <c r="H101" s="1">
        <v>45400</v>
      </c>
      <c r="I101" t="b">
        <v>0</v>
      </c>
      <c r="J101">
        <v>117.59</v>
      </c>
      <c r="K101" s="1">
        <v>45400</v>
      </c>
      <c r="L101">
        <v>19.100000000000001</v>
      </c>
      <c r="M101" s="1">
        <v>46058</v>
      </c>
      <c r="N101">
        <v>35.909999999999997</v>
      </c>
      <c r="O101" s="1">
        <v>46204</v>
      </c>
      <c r="P101">
        <v>552</v>
      </c>
      <c r="Q101" t="s">
        <v>21</v>
      </c>
      <c r="R101" t="s">
        <v>810</v>
      </c>
    </row>
    <row r="102" spans="1:18" x14ac:dyDescent="0.35">
      <c r="A102" t="s">
        <v>786</v>
      </c>
      <c r="B102" t="s">
        <v>786</v>
      </c>
      <c r="C102" t="s">
        <v>787</v>
      </c>
      <c r="D102" t="s">
        <v>27</v>
      </c>
      <c r="G102" s="1">
        <v>44104</v>
      </c>
      <c r="H102" s="1">
        <v>44379</v>
      </c>
      <c r="I102" t="b">
        <v>1</v>
      </c>
      <c r="J102">
        <v>18.899999999999999</v>
      </c>
      <c r="K102" s="1">
        <v>44379</v>
      </c>
      <c r="L102">
        <v>3</v>
      </c>
      <c r="M102" s="1">
        <v>44859</v>
      </c>
      <c r="N102">
        <v>5.6</v>
      </c>
      <c r="O102" s="1">
        <v>46204</v>
      </c>
      <c r="P102">
        <v>1254</v>
      </c>
      <c r="Q102" t="s">
        <v>21</v>
      </c>
      <c r="R102" t="s">
        <v>810</v>
      </c>
    </row>
    <row r="103" spans="1:18" x14ac:dyDescent="0.35">
      <c r="A103" t="s">
        <v>771</v>
      </c>
      <c r="B103" t="s">
        <v>771</v>
      </c>
      <c r="C103" t="s">
        <v>772</v>
      </c>
      <c r="D103" t="s">
        <v>27</v>
      </c>
      <c r="G103" s="1">
        <v>44398</v>
      </c>
      <c r="H103" s="1">
        <v>44398</v>
      </c>
      <c r="I103" t="b">
        <v>0</v>
      </c>
      <c r="J103">
        <v>33.36</v>
      </c>
      <c r="K103" s="1">
        <v>44418</v>
      </c>
      <c r="L103">
        <v>2.66</v>
      </c>
      <c r="M103" s="1">
        <v>44756</v>
      </c>
      <c r="N103">
        <v>4.18</v>
      </c>
      <c r="O103" s="1">
        <v>46204</v>
      </c>
      <c r="P103">
        <v>1242</v>
      </c>
      <c r="Q103" t="s">
        <v>21</v>
      </c>
      <c r="R103" t="s">
        <v>810</v>
      </c>
    </row>
    <row r="104" spans="1:18" x14ac:dyDescent="0.35">
      <c r="A104" t="s">
        <v>56</v>
      </c>
      <c r="B104" t="s">
        <v>56</v>
      </c>
      <c r="C104" t="s">
        <v>57</v>
      </c>
      <c r="D104" t="s">
        <v>27</v>
      </c>
      <c r="E104">
        <v>7372</v>
      </c>
      <c r="F104" t="s">
        <v>20</v>
      </c>
      <c r="G104" s="1">
        <v>44090</v>
      </c>
      <c r="H104" s="1">
        <v>44379</v>
      </c>
      <c r="I104" t="b">
        <v>1</v>
      </c>
      <c r="J104">
        <v>405</v>
      </c>
      <c r="K104" s="1">
        <v>44517</v>
      </c>
      <c r="L104">
        <v>107.13</v>
      </c>
      <c r="M104" s="1">
        <v>45541</v>
      </c>
      <c r="N104">
        <v>261.19</v>
      </c>
      <c r="O104" s="1">
        <v>46204</v>
      </c>
      <c r="P104">
        <v>1254</v>
      </c>
      <c r="Q104" t="s">
        <v>21</v>
      </c>
      <c r="R104" t="s">
        <v>810</v>
      </c>
    </row>
    <row r="105" spans="1:18" x14ac:dyDescent="0.35">
      <c r="A105" t="s">
        <v>768</v>
      </c>
      <c r="B105" t="s">
        <v>769</v>
      </c>
      <c r="C105" t="s">
        <v>770</v>
      </c>
      <c r="D105" t="s">
        <v>27</v>
      </c>
      <c r="E105">
        <v>7372</v>
      </c>
      <c r="F105" t="s">
        <v>20</v>
      </c>
      <c r="G105" s="1">
        <v>44034</v>
      </c>
      <c r="H105" s="1">
        <v>44379</v>
      </c>
      <c r="I105" t="b">
        <v>1</v>
      </c>
      <c r="J105">
        <v>49.27</v>
      </c>
      <c r="K105" s="1">
        <v>44508</v>
      </c>
      <c r="L105">
        <v>7.085</v>
      </c>
      <c r="M105" s="1">
        <v>45876</v>
      </c>
      <c r="N105">
        <v>13.05</v>
      </c>
      <c r="O105" s="1">
        <v>46051</v>
      </c>
      <c r="P105">
        <v>1149</v>
      </c>
      <c r="Q105" t="s">
        <v>21</v>
      </c>
      <c r="R105" t="s">
        <v>810</v>
      </c>
    </row>
    <row r="106" spans="1:18" x14ac:dyDescent="0.35">
      <c r="A106" t="s">
        <v>737</v>
      </c>
      <c r="B106" t="s">
        <v>738</v>
      </c>
      <c r="C106" t="s">
        <v>739</v>
      </c>
      <c r="D106" t="s">
        <v>27</v>
      </c>
      <c r="E106">
        <v>7372</v>
      </c>
      <c r="F106" t="s">
        <v>20</v>
      </c>
      <c r="G106" s="1">
        <v>44399</v>
      </c>
      <c r="H106" s="1">
        <v>44399</v>
      </c>
      <c r="I106" t="b">
        <v>0</v>
      </c>
      <c r="J106">
        <v>52.26</v>
      </c>
      <c r="K106" s="1">
        <v>44439</v>
      </c>
      <c r="L106">
        <v>10.19</v>
      </c>
      <c r="M106" s="1">
        <v>44872</v>
      </c>
      <c r="N106">
        <v>24.51</v>
      </c>
      <c r="O106" s="1">
        <v>45923</v>
      </c>
      <c r="P106">
        <v>1048</v>
      </c>
      <c r="Q106" t="s">
        <v>21</v>
      </c>
      <c r="R106" t="s">
        <v>810</v>
      </c>
    </row>
    <row r="107" spans="1:18" x14ac:dyDescent="0.35">
      <c r="A107" t="s">
        <v>726</v>
      </c>
      <c r="B107" t="s">
        <v>727</v>
      </c>
      <c r="C107" t="s">
        <v>728</v>
      </c>
      <c r="D107" t="s">
        <v>27</v>
      </c>
      <c r="E107">
        <v>7372</v>
      </c>
      <c r="F107" t="s">
        <v>20</v>
      </c>
      <c r="G107" s="1">
        <v>44280</v>
      </c>
      <c r="H107" s="1">
        <v>44379</v>
      </c>
      <c r="I107" t="b">
        <v>1</v>
      </c>
      <c r="J107">
        <v>32.478999999999999</v>
      </c>
      <c r="K107" s="1">
        <v>44449</v>
      </c>
      <c r="L107">
        <v>6.5579999999999998</v>
      </c>
      <c r="M107" s="1">
        <v>45967</v>
      </c>
      <c r="N107">
        <v>12</v>
      </c>
      <c r="O107" s="1">
        <v>46139</v>
      </c>
      <c r="P107">
        <v>1209</v>
      </c>
      <c r="Q107" t="s">
        <v>21</v>
      </c>
      <c r="R107" t="s">
        <v>810</v>
      </c>
    </row>
    <row r="108" spans="1:18" x14ac:dyDescent="0.35">
      <c r="A108" t="s">
        <v>683</v>
      </c>
      <c r="B108" t="s">
        <v>683</v>
      </c>
      <c r="C108" t="s">
        <v>684</v>
      </c>
      <c r="D108" t="s">
        <v>27</v>
      </c>
      <c r="E108">
        <v>7372</v>
      </c>
      <c r="F108" t="s">
        <v>20</v>
      </c>
      <c r="G108" s="1">
        <v>44386</v>
      </c>
      <c r="H108" s="1">
        <v>44397</v>
      </c>
      <c r="I108" t="b">
        <v>1</v>
      </c>
      <c r="J108">
        <v>15.85</v>
      </c>
      <c r="K108" s="1">
        <v>44397</v>
      </c>
      <c r="L108">
        <v>2.92</v>
      </c>
      <c r="M108" s="1">
        <v>46191</v>
      </c>
      <c r="N108">
        <v>3.92</v>
      </c>
      <c r="O108" s="1">
        <v>46204</v>
      </c>
      <c r="P108">
        <v>1243</v>
      </c>
      <c r="Q108" t="s">
        <v>21</v>
      </c>
      <c r="R108" t="s">
        <v>810</v>
      </c>
    </row>
    <row r="109" spans="1:18" x14ac:dyDescent="0.35">
      <c r="A109" t="s">
        <v>672</v>
      </c>
      <c r="B109" t="s">
        <v>672</v>
      </c>
      <c r="C109" t="s">
        <v>673</v>
      </c>
      <c r="D109" t="s">
        <v>27</v>
      </c>
      <c r="E109">
        <v>7372</v>
      </c>
      <c r="F109" t="s">
        <v>20</v>
      </c>
      <c r="G109" s="1">
        <v>44467</v>
      </c>
      <c r="H109" s="1">
        <v>44467</v>
      </c>
      <c r="I109" t="b">
        <v>0</v>
      </c>
      <c r="J109">
        <v>87.98</v>
      </c>
      <c r="K109" s="1">
        <v>44504</v>
      </c>
      <c r="L109">
        <v>5.51</v>
      </c>
      <c r="M109" s="1">
        <v>46125</v>
      </c>
      <c r="N109">
        <v>8.5500000000000007</v>
      </c>
      <c r="O109" s="1">
        <v>46204</v>
      </c>
      <c r="P109">
        <v>1194</v>
      </c>
      <c r="Q109" t="s">
        <v>21</v>
      </c>
      <c r="R109" t="s">
        <v>810</v>
      </c>
    </row>
    <row r="110" spans="1:18" x14ac:dyDescent="0.35">
      <c r="A110" t="s">
        <v>145</v>
      </c>
      <c r="B110" t="s">
        <v>145</v>
      </c>
      <c r="C110" t="s">
        <v>146</v>
      </c>
      <c r="D110" t="s">
        <v>27</v>
      </c>
      <c r="E110">
        <v>7372</v>
      </c>
      <c r="F110" t="s">
        <v>20</v>
      </c>
      <c r="G110" s="1">
        <v>44097</v>
      </c>
      <c r="H110" s="1">
        <v>44379</v>
      </c>
      <c r="I110" t="b">
        <v>1</v>
      </c>
      <c r="J110">
        <v>71.92</v>
      </c>
      <c r="K110" s="1">
        <v>44454</v>
      </c>
      <c r="L110">
        <v>26.32</v>
      </c>
      <c r="M110" s="1">
        <v>44692</v>
      </c>
      <c r="N110">
        <v>31.28</v>
      </c>
      <c r="O110" s="1">
        <v>46204</v>
      </c>
      <c r="P110">
        <v>1254</v>
      </c>
      <c r="Q110" t="s">
        <v>21</v>
      </c>
      <c r="R110" t="s">
        <v>810</v>
      </c>
    </row>
    <row r="111" spans="1:18" x14ac:dyDescent="0.35">
      <c r="A111" t="s">
        <v>153</v>
      </c>
      <c r="B111" t="s">
        <v>153</v>
      </c>
      <c r="C111" t="s">
        <v>154</v>
      </c>
      <c r="D111" t="s">
        <v>27</v>
      </c>
      <c r="G111" s="1">
        <v>44357</v>
      </c>
      <c r="H111" s="1">
        <v>44379</v>
      </c>
      <c r="I111" t="b">
        <v>1</v>
      </c>
      <c r="J111">
        <v>450</v>
      </c>
      <c r="K111" s="1">
        <v>44509</v>
      </c>
      <c r="L111">
        <v>57.5</v>
      </c>
      <c r="M111" s="1">
        <v>46122</v>
      </c>
      <c r="N111">
        <v>76.260000000000005</v>
      </c>
      <c r="O111" s="1">
        <v>46204</v>
      </c>
      <c r="P111">
        <v>1254</v>
      </c>
      <c r="Q111" t="s">
        <v>21</v>
      </c>
      <c r="R111" t="s">
        <v>810</v>
      </c>
    </row>
    <row r="112" spans="1:18" x14ac:dyDescent="0.35">
      <c r="A112" t="s">
        <v>158</v>
      </c>
      <c r="B112" t="s">
        <v>158</v>
      </c>
      <c r="C112" t="s">
        <v>159</v>
      </c>
      <c r="D112" t="s">
        <v>27</v>
      </c>
      <c r="E112">
        <v>7372</v>
      </c>
      <c r="F112" t="s">
        <v>20</v>
      </c>
      <c r="G112" s="1">
        <v>44860</v>
      </c>
      <c r="H112" s="1">
        <v>44860</v>
      </c>
      <c r="I112" t="b">
        <v>0</v>
      </c>
      <c r="J112">
        <v>48.11</v>
      </c>
      <c r="K112" s="1">
        <v>44972</v>
      </c>
      <c r="L112">
        <v>6.47</v>
      </c>
      <c r="M112" s="1">
        <v>46111</v>
      </c>
      <c r="N112">
        <v>9.67</v>
      </c>
      <c r="O112" s="1">
        <v>46204</v>
      </c>
      <c r="P112">
        <v>922</v>
      </c>
      <c r="Q112" t="s">
        <v>21</v>
      </c>
      <c r="R112" t="s">
        <v>810</v>
      </c>
    </row>
    <row r="113" spans="1:18" x14ac:dyDescent="0.35">
      <c r="A113" t="s">
        <v>606</v>
      </c>
      <c r="B113" t="s">
        <v>606</v>
      </c>
      <c r="C113" t="s">
        <v>607</v>
      </c>
      <c r="D113" t="s">
        <v>27</v>
      </c>
      <c r="E113">
        <v>3714</v>
      </c>
      <c r="F113" t="s">
        <v>493</v>
      </c>
      <c r="G113" s="1">
        <v>44270</v>
      </c>
      <c r="H113" s="1">
        <v>44379</v>
      </c>
      <c r="I113" t="b">
        <v>1</v>
      </c>
      <c r="J113">
        <v>57.4</v>
      </c>
      <c r="K113" s="1">
        <v>44389</v>
      </c>
      <c r="L113">
        <v>2.2006999999999999</v>
      </c>
      <c r="M113" s="1">
        <v>45478</v>
      </c>
      <c r="N113">
        <v>27.8</v>
      </c>
      <c r="O113" s="1">
        <v>46204</v>
      </c>
      <c r="P113">
        <v>1254</v>
      </c>
      <c r="Q113" t="s">
        <v>21</v>
      </c>
      <c r="R113" t="s">
        <v>810</v>
      </c>
    </row>
    <row r="114" spans="1:18" x14ac:dyDescent="0.35">
      <c r="A114" t="s">
        <v>594</v>
      </c>
      <c r="B114" t="s">
        <v>595</v>
      </c>
      <c r="C114" t="s">
        <v>596</v>
      </c>
      <c r="D114" t="s">
        <v>27</v>
      </c>
      <c r="E114">
        <v>7372</v>
      </c>
      <c r="F114" t="s">
        <v>20</v>
      </c>
      <c r="G114" s="1">
        <v>44482</v>
      </c>
      <c r="H114" s="1">
        <v>44482</v>
      </c>
      <c r="I114" t="b">
        <v>0</v>
      </c>
      <c r="J114">
        <v>27.434999999999999</v>
      </c>
      <c r="K114" s="1">
        <v>44519</v>
      </c>
      <c r="L114">
        <v>5.86</v>
      </c>
      <c r="M114" s="1">
        <v>44742</v>
      </c>
      <c r="N114">
        <v>10</v>
      </c>
      <c r="O114" s="1">
        <v>45944</v>
      </c>
      <c r="P114">
        <v>1005</v>
      </c>
      <c r="Q114" t="s">
        <v>21</v>
      </c>
      <c r="R114" t="s">
        <v>810</v>
      </c>
    </row>
    <row r="115" spans="1:18" x14ac:dyDescent="0.35">
      <c r="A115" t="s">
        <v>210</v>
      </c>
      <c r="B115" t="s">
        <v>210</v>
      </c>
      <c r="C115" t="s">
        <v>211</v>
      </c>
      <c r="D115" t="s">
        <v>27</v>
      </c>
      <c r="E115">
        <v>7372</v>
      </c>
      <c r="F115" t="s">
        <v>20</v>
      </c>
      <c r="G115" s="1">
        <v>44092</v>
      </c>
      <c r="H115" s="1">
        <v>44379</v>
      </c>
      <c r="I115" t="b">
        <v>1</v>
      </c>
      <c r="J115">
        <v>210</v>
      </c>
      <c r="K115" s="1">
        <v>44518</v>
      </c>
      <c r="L115">
        <v>13.895</v>
      </c>
      <c r="M115" s="1">
        <v>45511</v>
      </c>
      <c r="N115">
        <v>30.19</v>
      </c>
      <c r="O115" s="1">
        <v>46204</v>
      </c>
      <c r="P115">
        <v>1254</v>
      </c>
      <c r="Q115" t="s">
        <v>21</v>
      </c>
      <c r="R115" t="s">
        <v>810</v>
      </c>
    </row>
    <row r="116" spans="1:18" x14ac:dyDescent="0.35">
      <c r="A116" t="s">
        <v>576</v>
      </c>
      <c r="B116" t="s">
        <v>576</v>
      </c>
      <c r="C116" t="s">
        <v>577</v>
      </c>
      <c r="D116" t="s">
        <v>27</v>
      </c>
      <c r="E116">
        <v>7372</v>
      </c>
      <c r="F116" t="s">
        <v>20</v>
      </c>
      <c r="G116" s="1">
        <v>44370</v>
      </c>
      <c r="H116" s="1">
        <v>44379</v>
      </c>
      <c r="I116" t="b">
        <v>1</v>
      </c>
      <c r="J116">
        <v>23.489899999999999</v>
      </c>
      <c r="K116" s="1">
        <v>44389</v>
      </c>
      <c r="L116">
        <v>4.7149999999999999</v>
      </c>
      <c r="M116" s="1">
        <v>46135</v>
      </c>
      <c r="N116">
        <v>5.32</v>
      </c>
      <c r="O116" s="1">
        <v>46204</v>
      </c>
      <c r="P116">
        <v>1254</v>
      </c>
      <c r="Q116" t="s">
        <v>21</v>
      </c>
      <c r="R116" t="s">
        <v>810</v>
      </c>
    </row>
    <row r="117" spans="1:18" x14ac:dyDescent="0.35">
      <c r="A117" t="s">
        <v>217</v>
      </c>
      <c r="B117" t="s">
        <v>217</v>
      </c>
      <c r="C117" t="s">
        <v>218</v>
      </c>
      <c r="D117" t="s">
        <v>27</v>
      </c>
      <c r="E117">
        <v>7372</v>
      </c>
      <c r="F117" t="s">
        <v>20</v>
      </c>
      <c r="G117" s="1">
        <v>45638</v>
      </c>
      <c r="H117" s="1">
        <v>45638</v>
      </c>
      <c r="I117" t="b">
        <v>0</v>
      </c>
      <c r="J117">
        <v>131.33000000000001</v>
      </c>
      <c r="K117" s="1">
        <v>45793</v>
      </c>
      <c r="L117">
        <v>54.17</v>
      </c>
      <c r="M117" s="1">
        <v>46155</v>
      </c>
      <c r="N117">
        <v>74.034999999999997</v>
      </c>
      <c r="O117" s="1">
        <v>46204</v>
      </c>
      <c r="P117">
        <v>387</v>
      </c>
      <c r="Q117" t="s">
        <v>21</v>
      </c>
      <c r="R117" t="s">
        <v>810</v>
      </c>
    </row>
    <row r="118" spans="1:18" x14ac:dyDescent="0.35">
      <c r="A118" t="s">
        <v>228</v>
      </c>
      <c r="B118" t="s">
        <v>228</v>
      </c>
      <c r="C118" t="s">
        <v>229</v>
      </c>
      <c r="D118" t="s">
        <v>27</v>
      </c>
      <c r="E118">
        <v>7372</v>
      </c>
      <c r="F118" t="s">
        <v>20</v>
      </c>
      <c r="G118" s="1">
        <v>45189</v>
      </c>
      <c r="H118" s="1">
        <v>45189</v>
      </c>
      <c r="I118" t="b">
        <v>0</v>
      </c>
      <c r="J118">
        <v>49.55</v>
      </c>
      <c r="K118" s="1">
        <v>45699</v>
      </c>
      <c r="L118">
        <v>12.53</v>
      </c>
      <c r="M118" s="1">
        <v>46195</v>
      </c>
      <c r="N118">
        <v>16.36</v>
      </c>
      <c r="O118" s="1">
        <v>46204</v>
      </c>
      <c r="P118">
        <v>697</v>
      </c>
      <c r="Q118" t="s">
        <v>21</v>
      </c>
      <c r="R118" t="s">
        <v>810</v>
      </c>
    </row>
    <row r="119" spans="1:18" x14ac:dyDescent="0.35">
      <c r="A119" t="s">
        <v>236</v>
      </c>
      <c r="B119" t="s">
        <v>237</v>
      </c>
      <c r="C119" t="s">
        <v>238</v>
      </c>
      <c r="D119" t="s">
        <v>27</v>
      </c>
      <c r="E119">
        <v>7372</v>
      </c>
      <c r="F119" t="s">
        <v>20</v>
      </c>
      <c r="G119" s="1">
        <v>44496</v>
      </c>
      <c r="H119" s="1">
        <v>44496</v>
      </c>
      <c r="I119" t="b">
        <v>0</v>
      </c>
      <c r="J119">
        <v>40.130000000000003</v>
      </c>
      <c r="K119" s="1">
        <v>44546</v>
      </c>
      <c r="L119">
        <v>13.29</v>
      </c>
      <c r="M119" s="1">
        <v>45050</v>
      </c>
      <c r="N119">
        <v>24.79</v>
      </c>
      <c r="O119" s="1">
        <v>45978</v>
      </c>
      <c r="P119">
        <v>1019</v>
      </c>
      <c r="Q119" t="s">
        <v>21</v>
      </c>
      <c r="R119" t="s">
        <v>810</v>
      </c>
    </row>
    <row r="120" spans="1:18" x14ac:dyDescent="0.35">
      <c r="A120" t="s">
        <v>244</v>
      </c>
      <c r="B120" t="s">
        <v>244</v>
      </c>
      <c r="C120" t="s">
        <v>245</v>
      </c>
      <c r="D120" t="s">
        <v>27</v>
      </c>
      <c r="G120" s="1">
        <v>44358</v>
      </c>
      <c r="H120" s="1">
        <v>44379</v>
      </c>
      <c r="I120" t="b">
        <v>1</v>
      </c>
      <c r="J120">
        <v>43.219900000000003</v>
      </c>
      <c r="K120" s="1">
        <v>44540</v>
      </c>
      <c r="L120">
        <v>9.7449999999999992</v>
      </c>
      <c r="M120" s="1">
        <v>44858</v>
      </c>
      <c r="N120">
        <v>13.48</v>
      </c>
      <c r="O120" s="1">
        <v>46204</v>
      </c>
      <c r="P120">
        <v>1254</v>
      </c>
      <c r="Q120" t="s">
        <v>21</v>
      </c>
      <c r="R120" t="s">
        <v>810</v>
      </c>
    </row>
    <row r="121" spans="1:18" x14ac:dyDescent="0.35">
      <c r="A121" t="s">
        <v>246</v>
      </c>
      <c r="B121" t="s">
        <v>247</v>
      </c>
      <c r="C121" t="s">
        <v>248</v>
      </c>
      <c r="D121" t="s">
        <v>27</v>
      </c>
      <c r="E121">
        <v>7372</v>
      </c>
      <c r="F121" t="s">
        <v>20</v>
      </c>
      <c r="G121" s="1">
        <v>44371</v>
      </c>
      <c r="H121" s="1">
        <v>44379</v>
      </c>
      <c r="I121" t="b">
        <v>1</v>
      </c>
      <c r="J121">
        <v>94.97</v>
      </c>
      <c r="K121" s="1">
        <v>44505</v>
      </c>
      <c r="L121">
        <v>14.69</v>
      </c>
      <c r="M121" s="1">
        <v>45232</v>
      </c>
      <c r="N121">
        <v>30.99</v>
      </c>
      <c r="O121" s="1">
        <v>46097</v>
      </c>
      <c r="P121">
        <v>1180</v>
      </c>
      <c r="Q121" t="s">
        <v>21</v>
      </c>
      <c r="R121" t="s">
        <v>810</v>
      </c>
    </row>
    <row r="122" spans="1:18" x14ac:dyDescent="0.35">
      <c r="A122" t="s">
        <v>256</v>
      </c>
      <c r="B122" t="s">
        <v>256</v>
      </c>
      <c r="C122" t="s">
        <v>257</v>
      </c>
      <c r="D122" t="s">
        <v>27</v>
      </c>
      <c r="E122">
        <v>7372</v>
      </c>
      <c r="F122" t="s">
        <v>20</v>
      </c>
      <c r="G122" s="1">
        <v>44483</v>
      </c>
      <c r="H122" s="1">
        <v>44483</v>
      </c>
      <c r="I122" t="b">
        <v>0</v>
      </c>
      <c r="J122">
        <v>137</v>
      </c>
      <c r="K122" s="1">
        <v>44509</v>
      </c>
      <c r="L122">
        <v>18.73</v>
      </c>
      <c r="M122" s="1">
        <v>46122</v>
      </c>
      <c r="N122">
        <v>31.53</v>
      </c>
      <c r="O122" s="1">
        <v>46204</v>
      </c>
      <c r="P122">
        <v>1182</v>
      </c>
      <c r="Q122" t="s">
        <v>21</v>
      </c>
      <c r="R122" t="s">
        <v>810</v>
      </c>
    </row>
    <row r="123" spans="1:18" x14ac:dyDescent="0.35">
      <c r="A123" t="s">
        <v>530</v>
      </c>
      <c r="B123" t="s">
        <v>530</v>
      </c>
      <c r="C123" t="s">
        <v>531</v>
      </c>
      <c r="D123" t="s">
        <v>27</v>
      </c>
      <c r="G123" s="1">
        <v>44307</v>
      </c>
      <c r="H123" s="1">
        <v>44379</v>
      </c>
      <c r="I123" t="b">
        <v>1</v>
      </c>
      <c r="J123">
        <v>24.14</v>
      </c>
      <c r="K123" s="1">
        <v>44448</v>
      </c>
      <c r="L123">
        <v>2.2000000000000002</v>
      </c>
      <c r="M123" s="1">
        <v>44742</v>
      </c>
      <c r="N123">
        <v>6.36</v>
      </c>
      <c r="O123" s="1">
        <v>46204</v>
      </c>
      <c r="P123">
        <v>1254</v>
      </c>
      <c r="Q123" t="s">
        <v>21</v>
      </c>
      <c r="R123" t="s">
        <v>810</v>
      </c>
    </row>
    <row r="124" spans="1:18" x14ac:dyDescent="0.35">
      <c r="A124" t="s">
        <v>267</v>
      </c>
      <c r="B124" t="s">
        <v>267</v>
      </c>
      <c r="C124" t="s">
        <v>268</v>
      </c>
      <c r="D124" t="s">
        <v>27</v>
      </c>
      <c r="E124">
        <v>7372</v>
      </c>
      <c r="F124" t="s">
        <v>20</v>
      </c>
      <c r="G124" s="1">
        <v>44307</v>
      </c>
      <c r="H124" s="1">
        <v>44379</v>
      </c>
      <c r="I124" t="b">
        <v>1</v>
      </c>
      <c r="J124">
        <v>69.599999999999994</v>
      </c>
      <c r="K124" s="1">
        <v>44386</v>
      </c>
      <c r="L124">
        <v>9.2002000000000006</v>
      </c>
      <c r="M124" s="1">
        <v>46156</v>
      </c>
      <c r="N124">
        <v>11.55</v>
      </c>
      <c r="O124" s="1">
        <v>46204</v>
      </c>
      <c r="P124">
        <v>1254</v>
      </c>
      <c r="Q124" t="s">
        <v>21</v>
      </c>
      <c r="R124" t="s">
        <v>810</v>
      </c>
    </row>
    <row r="125" spans="1:18" x14ac:dyDescent="0.35">
      <c r="A125" t="s">
        <v>275</v>
      </c>
      <c r="B125" t="s">
        <v>276</v>
      </c>
      <c r="C125" t="s">
        <v>277</v>
      </c>
      <c r="D125" t="s">
        <v>27</v>
      </c>
      <c r="E125">
        <v>7372</v>
      </c>
      <c r="F125" t="s">
        <v>20</v>
      </c>
      <c r="G125" s="1">
        <v>45497</v>
      </c>
      <c r="H125" s="1">
        <v>45497</v>
      </c>
      <c r="I125" t="b">
        <v>0</v>
      </c>
      <c r="J125">
        <v>35.39</v>
      </c>
      <c r="K125" s="1">
        <v>45607</v>
      </c>
      <c r="L125">
        <v>16.510000000000002</v>
      </c>
      <c r="M125" s="1">
        <v>45946</v>
      </c>
      <c r="N125">
        <v>24</v>
      </c>
      <c r="O125" s="1">
        <v>46112</v>
      </c>
      <c r="P125">
        <v>423</v>
      </c>
      <c r="Q125" t="s">
        <v>21</v>
      </c>
      <c r="R125" t="s">
        <v>810</v>
      </c>
    </row>
    <row r="126" spans="1:18" x14ac:dyDescent="0.35">
      <c r="A126" t="s">
        <v>514</v>
      </c>
      <c r="B126" t="s">
        <v>514</v>
      </c>
      <c r="C126" t="s">
        <v>515</v>
      </c>
      <c r="D126" t="s">
        <v>27</v>
      </c>
      <c r="E126">
        <v>7389</v>
      </c>
      <c r="F126" t="s">
        <v>38</v>
      </c>
      <c r="G126" s="1">
        <v>44279</v>
      </c>
      <c r="H126" s="1">
        <v>44379</v>
      </c>
      <c r="I126" t="b">
        <v>1</v>
      </c>
      <c r="J126">
        <v>25.28</v>
      </c>
      <c r="K126" s="1">
        <v>44379</v>
      </c>
      <c r="L126">
        <v>4.0650000000000004</v>
      </c>
      <c r="M126" s="1">
        <v>46108</v>
      </c>
      <c r="N126">
        <v>7.29</v>
      </c>
      <c r="O126" s="1">
        <v>46204</v>
      </c>
      <c r="P126">
        <v>1254</v>
      </c>
      <c r="Q126" t="s">
        <v>21</v>
      </c>
      <c r="R126" t="s">
        <v>810</v>
      </c>
    </row>
    <row r="127" spans="1:18" x14ac:dyDescent="0.35">
      <c r="A127" t="s">
        <v>294</v>
      </c>
      <c r="B127" t="s">
        <v>294</v>
      </c>
      <c r="C127" t="s">
        <v>295</v>
      </c>
      <c r="D127" t="s">
        <v>27</v>
      </c>
      <c r="E127">
        <v>7372</v>
      </c>
      <c r="F127" t="s">
        <v>20</v>
      </c>
      <c r="G127" s="1">
        <v>44377</v>
      </c>
      <c r="H127" s="1">
        <v>44379</v>
      </c>
      <c r="I127" t="b">
        <v>1</v>
      </c>
      <c r="J127">
        <v>78.53</v>
      </c>
      <c r="K127" s="1">
        <v>44512</v>
      </c>
      <c r="L127">
        <v>11.81</v>
      </c>
      <c r="M127" s="1">
        <v>46122</v>
      </c>
      <c r="N127">
        <v>17.59</v>
      </c>
      <c r="O127" s="1">
        <v>46204</v>
      </c>
      <c r="P127">
        <v>1254</v>
      </c>
      <c r="Q127" t="s">
        <v>21</v>
      </c>
      <c r="R127" t="s">
        <v>810</v>
      </c>
    </row>
    <row r="128" spans="1:18" x14ac:dyDescent="0.35">
      <c r="A128" t="s">
        <v>498</v>
      </c>
      <c r="B128" t="s">
        <v>498</v>
      </c>
      <c r="C128" t="s">
        <v>499</v>
      </c>
      <c r="D128" t="s">
        <v>27</v>
      </c>
      <c r="E128">
        <v>7372</v>
      </c>
      <c r="F128" t="s">
        <v>20</v>
      </c>
      <c r="G128" s="1">
        <v>44517</v>
      </c>
      <c r="H128" s="1">
        <v>44517</v>
      </c>
      <c r="I128" t="b">
        <v>0</v>
      </c>
      <c r="J128">
        <v>98.779899999999998</v>
      </c>
      <c r="K128" s="1">
        <v>44522</v>
      </c>
      <c r="L128">
        <v>15.26</v>
      </c>
      <c r="M128" s="1">
        <v>46076</v>
      </c>
      <c r="N128">
        <v>22.93</v>
      </c>
      <c r="O128" s="1">
        <v>46204</v>
      </c>
      <c r="P128">
        <v>1158</v>
      </c>
      <c r="Q128" t="s">
        <v>21</v>
      </c>
      <c r="R128" t="s">
        <v>810</v>
      </c>
    </row>
    <row r="129" spans="1:18" x14ac:dyDescent="0.35">
      <c r="A129" t="s">
        <v>475</v>
      </c>
      <c r="B129" t="s">
        <v>475</v>
      </c>
      <c r="C129" t="s">
        <v>476</v>
      </c>
      <c r="D129" t="s">
        <v>27</v>
      </c>
      <c r="E129">
        <v>7389</v>
      </c>
      <c r="F129" t="s">
        <v>38</v>
      </c>
      <c r="G129" s="1">
        <v>44383</v>
      </c>
      <c r="H129" s="1">
        <v>44383</v>
      </c>
      <c r="I129" t="b">
        <v>0</v>
      </c>
      <c r="J129">
        <v>266.8</v>
      </c>
      <c r="K129" s="1">
        <v>44449</v>
      </c>
      <c r="L129">
        <v>9.5760000000000005</v>
      </c>
      <c r="M129" s="1">
        <v>46121</v>
      </c>
      <c r="N129">
        <v>13.73</v>
      </c>
      <c r="O129" s="1">
        <v>46204</v>
      </c>
      <c r="P129">
        <v>1253</v>
      </c>
      <c r="Q129" t="s">
        <v>21</v>
      </c>
      <c r="R129" t="s">
        <v>810</v>
      </c>
    </row>
    <row r="130" spans="1:18" x14ac:dyDescent="0.35">
      <c r="A130" t="s">
        <v>466</v>
      </c>
      <c r="B130" t="s">
        <v>466</v>
      </c>
      <c r="C130" t="s">
        <v>467</v>
      </c>
      <c r="D130" t="s">
        <v>27</v>
      </c>
      <c r="E130">
        <v>3490</v>
      </c>
      <c r="F130" t="s">
        <v>468</v>
      </c>
      <c r="G130" s="1">
        <v>45014</v>
      </c>
      <c r="H130" s="1">
        <v>45020</v>
      </c>
      <c r="I130" t="b">
        <v>1</v>
      </c>
      <c r="J130">
        <v>69</v>
      </c>
      <c r="K130" s="1">
        <v>45939</v>
      </c>
      <c r="L130">
        <v>35.704999999999998</v>
      </c>
      <c r="M130" s="1">
        <v>46176</v>
      </c>
      <c r="N130">
        <v>51.96</v>
      </c>
      <c r="O130" s="1">
        <v>46204</v>
      </c>
      <c r="P130">
        <v>813</v>
      </c>
      <c r="Q130" t="s">
        <v>21</v>
      </c>
      <c r="R130" t="s">
        <v>810</v>
      </c>
    </row>
    <row r="131" spans="1:18" x14ac:dyDescent="0.35">
      <c r="A131" t="s">
        <v>453</v>
      </c>
      <c r="B131" t="s">
        <v>453</v>
      </c>
      <c r="C131" t="s">
        <v>454</v>
      </c>
      <c r="D131" t="s">
        <v>27</v>
      </c>
      <c r="E131">
        <v>7372</v>
      </c>
      <c r="F131" t="s">
        <v>20</v>
      </c>
      <c r="G131" s="1">
        <v>44104</v>
      </c>
      <c r="H131" s="1">
        <v>44379</v>
      </c>
      <c r="I131" t="b">
        <v>1</v>
      </c>
      <c r="J131">
        <v>145.78989999999999</v>
      </c>
      <c r="K131" s="1">
        <v>44515</v>
      </c>
      <c r="L131">
        <v>5.38</v>
      </c>
      <c r="M131" s="1">
        <v>46125</v>
      </c>
      <c r="N131">
        <v>7.31</v>
      </c>
      <c r="O131" s="1">
        <v>46204</v>
      </c>
      <c r="P131">
        <v>1254</v>
      </c>
      <c r="Q131" t="s">
        <v>21</v>
      </c>
      <c r="R131" t="s">
        <v>810</v>
      </c>
    </row>
    <row r="132" spans="1:18" x14ac:dyDescent="0.35">
      <c r="A132" t="s">
        <v>448</v>
      </c>
      <c r="B132" t="s">
        <v>448</v>
      </c>
      <c r="C132" t="s">
        <v>449</v>
      </c>
      <c r="D132" t="s">
        <v>27</v>
      </c>
      <c r="E132">
        <v>7372</v>
      </c>
      <c r="F132" t="s">
        <v>20</v>
      </c>
      <c r="G132" s="1">
        <v>44174</v>
      </c>
      <c r="H132" s="1">
        <v>44379</v>
      </c>
      <c r="I132" t="b">
        <v>1</v>
      </c>
      <c r="J132">
        <v>64.5</v>
      </c>
      <c r="K132" s="1">
        <v>44379</v>
      </c>
      <c r="L132">
        <v>7.6749999999999998</v>
      </c>
      <c r="M132" s="1">
        <v>46111</v>
      </c>
      <c r="N132">
        <v>9.43</v>
      </c>
      <c r="O132" s="1">
        <v>46204</v>
      </c>
      <c r="P132">
        <v>1254</v>
      </c>
      <c r="Q132" t="s">
        <v>21</v>
      </c>
      <c r="R132" t="s">
        <v>810</v>
      </c>
    </row>
    <row r="133" spans="1:18" x14ac:dyDescent="0.35">
      <c r="A133" t="s">
        <v>430</v>
      </c>
      <c r="B133" t="s">
        <v>430</v>
      </c>
      <c r="C133" t="s">
        <v>431</v>
      </c>
      <c r="D133" t="s">
        <v>27</v>
      </c>
      <c r="E133">
        <v>7389</v>
      </c>
      <c r="F133" t="s">
        <v>38</v>
      </c>
      <c r="G133" s="1">
        <v>44151</v>
      </c>
      <c r="H133" s="1">
        <v>44379</v>
      </c>
      <c r="I133" t="b">
        <v>1</v>
      </c>
      <c r="J133">
        <v>208.48</v>
      </c>
      <c r="K133" s="1">
        <v>44602</v>
      </c>
      <c r="L133">
        <v>19.12</v>
      </c>
      <c r="M133" s="1">
        <v>46203</v>
      </c>
      <c r="N133">
        <v>24.41</v>
      </c>
      <c r="O133" s="1">
        <v>46204</v>
      </c>
      <c r="P133">
        <v>1254</v>
      </c>
      <c r="Q133" t="s">
        <v>21</v>
      </c>
      <c r="R133" t="s">
        <v>810</v>
      </c>
    </row>
    <row r="134" spans="1:18" x14ac:dyDescent="0.35">
      <c r="A134" t="s">
        <v>408</v>
      </c>
      <c r="B134" t="s">
        <v>408</v>
      </c>
      <c r="C134" t="s">
        <v>409</v>
      </c>
      <c r="D134" t="s">
        <v>27</v>
      </c>
      <c r="E134">
        <v>7372</v>
      </c>
      <c r="F134" t="s">
        <v>20</v>
      </c>
      <c r="G134" s="1">
        <v>44377</v>
      </c>
      <c r="H134" s="1">
        <v>44379</v>
      </c>
      <c r="I134" t="b">
        <v>1</v>
      </c>
      <c r="J134">
        <v>65.7</v>
      </c>
      <c r="K134" s="1">
        <v>44417</v>
      </c>
      <c r="L134">
        <v>15.280099999999999</v>
      </c>
      <c r="M134" s="1">
        <v>45205</v>
      </c>
      <c r="N134">
        <v>55.66</v>
      </c>
      <c r="O134" s="1">
        <v>46204</v>
      </c>
      <c r="P134">
        <v>1254</v>
      </c>
      <c r="Q134" t="s">
        <v>21</v>
      </c>
      <c r="R134" t="s">
        <v>810</v>
      </c>
    </row>
    <row r="135" spans="1:18" x14ac:dyDescent="0.35">
      <c r="A135" t="s">
        <v>350</v>
      </c>
      <c r="B135" t="s">
        <v>350</v>
      </c>
      <c r="C135" t="s">
        <v>351</v>
      </c>
      <c r="D135" t="s">
        <v>27</v>
      </c>
      <c r="E135">
        <v>7370</v>
      </c>
      <c r="F135" t="s">
        <v>34</v>
      </c>
      <c r="G135" s="1">
        <v>45377</v>
      </c>
      <c r="H135" s="1">
        <v>45377</v>
      </c>
      <c r="I135" t="b">
        <v>0</v>
      </c>
      <c r="J135">
        <v>79.38</v>
      </c>
      <c r="K135" s="1">
        <v>45377</v>
      </c>
      <c r="L135">
        <v>6.96</v>
      </c>
      <c r="M135" s="1">
        <v>46199</v>
      </c>
      <c r="N135">
        <v>8.02</v>
      </c>
      <c r="O135" s="1">
        <v>46204</v>
      </c>
      <c r="P135">
        <v>568</v>
      </c>
      <c r="Q135" t="s">
        <v>21</v>
      </c>
      <c r="R135" t="s">
        <v>810</v>
      </c>
    </row>
    <row r="136" spans="1:18" x14ac:dyDescent="0.35">
      <c r="A136" t="s">
        <v>390</v>
      </c>
      <c r="B136" t="s">
        <v>391</v>
      </c>
      <c r="C136" t="s">
        <v>392</v>
      </c>
      <c r="D136" t="s">
        <v>27</v>
      </c>
      <c r="E136">
        <v>7320</v>
      </c>
      <c r="F136" t="s">
        <v>393</v>
      </c>
      <c r="G136" s="1">
        <v>44013</v>
      </c>
      <c r="H136" s="1">
        <v>44379</v>
      </c>
      <c r="I136" t="b">
        <v>1</v>
      </c>
      <c r="J136">
        <v>21.91</v>
      </c>
      <c r="K136" s="1">
        <v>44379</v>
      </c>
      <c r="L136">
        <v>7.78</v>
      </c>
      <c r="M136" s="1">
        <v>45729</v>
      </c>
      <c r="N136">
        <v>9.15</v>
      </c>
      <c r="O136" s="1">
        <v>45894</v>
      </c>
      <c r="P136">
        <v>1041</v>
      </c>
      <c r="Q136" t="s">
        <v>21</v>
      </c>
      <c r="R136" t="s">
        <v>810</v>
      </c>
    </row>
    <row r="137" spans="1:18" x14ac:dyDescent="0.35">
      <c r="A137" t="s">
        <v>374</v>
      </c>
      <c r="B137" t="s">
        <v>374</v>
      </c>
      <c r="C137" t="s">
        <v>375</v>
      </c>
      <c r="D137" t="s">
        <v>27</v>
      </c>
      <c r="E137">
        <v>7372</v>
      </c>
      <c r="F137" t="s">
        <v>20</v>
      </c>
      <c r="G137" s="1">
        <v>44461</v>
      </c>
      <c r="H137" s="1">
        <v>44461</v>
      </c>
      <c r="I137" t="b">
        <v>0</v>
      </c>
      <c r="J137">
        <v>53.355899999999998</v>
      </c>
      <c r="K137" s="1">
        <v>44502</v>
      </c>
      <c r="L137">
        <v>6.79</v>
      </c>
      <c r="M137" s="1">
        <v>46065</v>
      </c>
      <c r="N137">
        <v>10.41</v>
      </c>
      <c r="O137" s="1">
        <v>46204</v>
      </c>
      <c r="P137">
        <v>1198</v>
      </c>
      <c r="Q137" t="s">
        <v>21</v>
      </c>
      <c r="R137" t="s">
        <v>810</v>
      </c>
    </row>
    <row r="138" spans="1:18" x14ac:dyDescent="0.35">
      <c r="A138" t="s">
        <v>370</v>
      </c>
      <c r="B138" t="s">
        <v>370</v>
      </c>
      <c r="C138" t="s">
        <v>371</v>
      </c>
      <c r="D138" t="s">
        <v>27</v>
      </c>
      <c r="E138">
        <v>7370</v>
      </c>
      <c r="F138" t="s">
        <v>34</v>
      </c>
      <c r="G138" s="1">
        <v>44883</v>
      </c>
      <c r="H138" s="1">
        <v>44883</v>
      </c>
      <c r="I138" t="b">
        <v>0</v>
      </c>
      <c r="J138">
        <v>71.510000000000005</v>
      </c>
      <c r="K138" s="1">
        <v>44883</v>
      </c>
      <c r="L138">
        <v>4.49</v>
      </c>
      <c r="M138" s="1">
        <v>45152</v>
      </c>
      <c r="N138">
        <v>15.69</v>
      </c>
      <c r="O138" s="1">
        <v>46204</v>
      </c>
      <c r="P138">
        <v>905</v>
      </c>
      <c r="Q138" t="s">
        <v>21</v>
      </c>
      <c r="R138" t="s">
        <v>810</v>
      </c>
    </row>
    <row r="139" spans="1:18" x14ac:dyDescent="0.35">
      <c r="A139" t="s">
        <v>625</v>
      </c>
      <c r="B139" t="s">
        <v>625</v>
      </c>
      <c r="C139" t="s">
        <v>626</v>
      </c>
      <c r="D139" t="s">
        <v>127</v>
      </c>
      <c r="G139" s="1">
        <v>44483</v>
      </c>
      <c r="H139" s="1">
        <v>44483</v>
      </c>
      <c r="I139" t="b">
        <v>0</v>
      </c>
      <c r="J139">
        <v>18.48</v>
      </c>
      <c r="K139" s="1">
        <v>44483</v>
      </c>
      <c r="L139">
        <v>2.1800000000000002</v>
      </c>
      <c r="M139" s="1">
        <v>45363</v>
      </c>
      <c r="N139">
        <v>8.1999999999999993</v>
      </c>
      <c r="O139" s="1">
        <v>46204</v>
      </c>
      <c r="P139">
        <v>1182</v>
      </c>
      <c r="Q139" t="s">
        <v>21</v>
      </c>
      <c r="R139" t="s">
        <v>810</v>
      </c>
    </row>
    <row r="140" spans="1:18" x14ac:dyDescent="0.35">
      <c r="A140" t="s">
        <v>396</v>
      </c>
      <c r="B140" t="s">
        <v>397</v>
      </c>
      <c r="C140" t="s">
        <v>398</v>
      </c>
      <c r="D140" t="s">
        <v>127</v>
      </c>
      <c r="Q140" t="s">
        <v>399</v>
      </c>
      <c r="R140" t="s">
        <v>810</v>
      </c>
    </row>
    <row r="141" spans="1:18" x14ac:dyDescent="0.35">
      <c r="A141" t="s">
        <v>560</v>
      </c>
      <c r="B141" t="s">
        <v>560</v>
      </c>
      <c r="C141" t="s">
        <v>561</v>
      </c>
      <c r="D141" t="s">
        <v>41</v>
      </c>
      <c r="G141" s="1">
        <v>44263</v>
      </c>
      <c r="H141" s="1">
        <v>44379</v>
      </c>
      <c r="I141" t="b">
        <v>1</v>
      </c>
      <c r="J141">
        <v>21.3</v>
      </c>
      <c r="K141" s="1">
        <v>44406</v>
      </c>
      <c r="L141">
        <v>2.52</v>
      </c>
      <c r="M141" s="1">
        <v>46184</v>
      </c>
      <c r="N141">
        <v>2.83</v>
      </c>
      <c r="O141" s="1">
        <v>46204</v>
      </c>
      <c r="P141">
        <v>1254</v>
      </c>
      <c r="Q141" t="s">
        <v>21</v>
      </c>
      <c r="R141" t="s">
        <v>810</v>
      </c>
    </row>
    <row r="142" spans="1:18" x14ac:dyDescent="0.35">
      <c r="A142" t="s">
        <v>542</v>
      </c>
      <c r="B142" t="s">
        <v>542</v>
      </c>
      <c r="C142" t="s">
        <v>543</v>
      </c>
      <c r="D142" t="s">
        <v>41</v>
      </c>
      <c r="G142" s="1">
        <v>44432</v>
      </c>
      <c r="H142" s="1">
        <v>44432</v>
      </c>
      <c r="I142" t="b">
        <v>0</v>
      </c>
      <c r="J142">
        <v>12.3</v>
      </c>
      <c r="K142" s="1">
        <v>44468</v>
      </c>
      <c r="L142">
        <v>4.0350000000000001</v>
      </c>
      <c r="M142" s="1">
        <v>44987</v>
      </c>
      <c r="N142">
        <v>6.18</v>
      </c>
      <c r="O142" s="1">
        <v>46204</v>
      </c>
      <c r="P142">
        <v>1218</v>
      </c>
      <c r="Q142" t="s">
        <v>21</v>
      </c>
      <c r="R142" t="s">
        <v>810</v>
      </c>
    </row>
    <row r="143" spans="1:18" x14ac:dyDescent="0.35">
      <c r="A143" t="s">
        <v>296</v>
      </c>
      <c r="B143" t="s">
        <v>296</v>
      </c>
      <c r="C143" t="s">
        <v>297</v>
      </c>
      <c r="D143" t="s">
        <v>41</v>
      </c>
      <c r="G143" s="1">
        <v>44036</v>
      </c>
      <c r="H143" s="1">
        <v>44379</v>
      </c>
      <c r="I143" t="b">
        <v>1</v>
      </c>
      <c r="J143">
        <v>45.429000000000002</v>
      </c>
      <c r="K143" s="1">
        <v>44441</v>
      </c>
      <c r="L143">
        <v>21.35</v>
      </c>
      <c r="M143" s="1">
        <v>45398</v>
      </c>
      <c r="N143">
        <v>36.75</v>
      </c>
      <c r="O143" s="1">
        <v>46204</v>
      </c>
      <c r="P143">
        <v>1254</v>
      </c>
      <c r="Q143" t="s">
        <v>21</v>
      </c>
      <c r="R143" t="s">
        <v>810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CCE6-2974-48A4-9492-CE52EA5913B1}">
  <dimension ref="A1:S11"/>
  <sheetViews>
    <sheetView workbookViewId="0">
      <selection activeCell="A3" sqref="A3:S11"/>
    </sheetView>
  </sheetViews>
  <sheetFormatPr defaultRowHeight="14.5" x14ac:dyDescent="0.35"/>
  <cols>
    <col min="1" max="1" width="9" bestFit="1" customWidth="1"/>
    <col min="2" max="2" width="13.36328125" bestFit="1" customWidth="1"/>
    <col min="3" max="3" width="22.6328125" bestFit="1" customWidth="1"/>
    <col min="4" max="4" width="8.81640625" bestFit="1" customWidth="1"/>
    <col min="5" max="5" width="10.453125" bestFit="1" customWidth="1"/>
    <col min="6" max="6" width="30.90625" bestFit="1" customWidth="1"/>
    <col min="7" max="7" width="10.26953125" bestFit="1" customWidth="1"/>
    <col min="8" max="8" width="16.08984375" bestFit="1" customWidth="1"/>
    <col min="9" max="9" width="17.26953125" bestFit="1" customWidth="1"/>
    <col min="10" max="10" width="10.90625" bestFit="1" customWidth="1"/>
    <col min="11" max="12" width="10.36328125" bestFit="1" customWidth="1"/>
    <col min="13" max="13" width="10.08984375" bestFit="1" customWidth="1"/>
    <col min="14" max="14" width="11.453125" bestFit="1" customWidth="1"/>
    <col min="15" max="15" width="10.7265625" bestFit="1" customWidth="1"/>
    <col min="16" max="16" width="13.7265625" bestFit="1" customWidth="1"/>
    <col min="17" max="17" width="14.36328125" bestFit="1" customWidth="1"/>
    <col min="18" max="18" width="20.08984375" bestFit="1" customWidth="1"/>
    <col min="19" max="19" width="12.6328125" bestFit="1" customWidth="1"/>
  </cols>
  <sheetData>
    <row r="1" spans="1:19" x14ac:dyDescent="0.35">
      <c r="A1" s="14" t="s">
        <v>817</v>
      </c>
    </row>
    <row r="3" spans="1:19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805</v>
      </c>
      <c r="S3" t="s">
        <v>812</v>
      </c>
    </row>
    <row r="4" spans="1:19" x14ac:dyDescent="0.35">
      <c r="A4" t="s">
        <v>732</v>
      </c>
      <c r="B4" t="s">
        <v>732</v>
      </c>
      <c r="C4" t="s">
        <v>733</v>
      </c>
      <c r="D4" t="s">
        <v>24</v>
      </c>
      <c r="E4">
        <v>1389</v>
      </c>
      <c r="F4" t="s">
        <v>734</v>
      </c>
      <c r="G4" s="1">
        <v>44694</v>
      </c>
      <c r="H4" s="1">
        <v>44867</v>
      </c>
      <c r="I4" t="b">
        <v>1</v>
      </c>
      <c r="J4">
        <v>27</v>
      </c>
      <c r="K4" s="1">
        <v>44876</v>
      </c>
      <c r="L4">
        <v>3.08</v>
      </c>
      <c r="M4" s="1">
        <v>45986</v>
      </c>
      <c r="N4">
        <v>5.49</v>
      </c>
      <c r="O4" s="1">
        <v>46204</v>
      </c>
      <c r="P4">
        <v>917</v>
      </c>
      <c r="Q4" t="s">
        <v>21</v>
      </c>
      <c r="R4" t="s">
        <v>810</v>
      </c>
      <c r="S4">
        <v>7.7662337662337668</v>
      </c>
    </row>
    <row r="5" spans="1:19" x14ac:dyDescent="0.35">
      <c r="A5" t="s">
        <v>716</v>
      </c>
      <c r="B5" t="s">
        <v>717</v>
      </c>
      <c r="C5" t="s">
        <v>718</v>
      </c>
      <c r="D5" t="s">
        <v>24</v>
      </c>
      <c r="Q5" t="s">
        <v>399</v>
      </c>
      <c r="R5" t="s">
        <v>810</v>
      </c>
      <c r="S5" t="e">
        <v>#DIV/0!</v>
      </c>
    </row>
    <row r="6" spans="1:19" x14ac:dyDescent="0.35">
      <c r="A6" t="s">
        <v>670</v>
      </c>
      <c r="B6" t="s">
        <v>670</v>
      </c>
      <c r="C6" t="s">
        <v>671</v>
      </c>
      <c r="D6" t="s">
        <v>24</v>
      </c>
      <c r="E6">
        <v>1311</v>
      </c>
      <c r="F6" t="s">
        <v>87</v>
      </c>
      <c r="G6" s="1">
        <v>44994</v>
      </c>
      <c r="H6" s="1">
        <v>44994</v>
      </c>
      <c r="I6" t="b">
        <v>0</v>
      </c>
      <c r="J6">
        <v>26.86</v>
      </c>
      <c r="K6" s="1">
        <v>45685</v>
      </c>
      <c r="L6">
        <v>7.6417000000000002</v>
      </c>
      <c r="M6" s="1">
        <v>45985</v>
      </c>
      <c r="N6">
        <v>15.62</v>
      </c>
      <c r="O6" s="1">
        <v>46204</v>
      </c>
      <c r="P6">
        <v>831</v>
      </c>
      <c r="Q6" t="s">
        <v>21</v>
      </c>
      <c r="R6" t="s">
        <v>810</v>
      </c>
      <c r="S6">
        <v>2.5149246895324335</v>
      </c>
    </row>
    <row r="7" spans="1:19" x14ac:dyDescent="0.35">
      <c r="A7" t="s">
        <v>666</v>
      </c>
      <c r="B7" t="s">
        <v>666</v>
      </c>
      <c r="C7" t="s">
        <v>667</v>
      </c>
      <c r="D7" t="s">
        <v>24</v>
      </c>
      <c r="E7">
        <v>1381</v>
      </c>
      <c r="F7" t="s">
        <v>380</v>
      </c>
      <c r="G7" s="1">
        <v>44714</v>
      </c>
      <c r="H7" s="1">
        <v>44848</v>
      </c>
      <c r="I7" t="b">
        <v>1</v>
      </c>
      <c r="J7">
        <v>56.46</v>
      </c>
      <c r="K7" s="1">
        <v>45499</v>
      </c>
      <c r="L7">
        <v>17.739999999999998</v>
      </c>
      <c r="M7" s="1">
        <v>45756</v>
      </c>
      <c r="N7">
        <v>38.85</v>
      </c>
      <c r="O7" s="1">
        <v>46204</v>
      </c>
      <c r="P7">
        <v>930</v>
      </c>
      <c r="Q7" t="s">
        <v>21</v>
      </c>
      <c r="R7" t="s">
        <v>810</v>
      </c>
      <c r="S7">
        <v>2.1826381059751974</v>
      </c>
    </row>
    <row r="8" spans="1:19" x14ac:dyDescent="0.35">
      <c r="A8" t="s">
        <v>562</v>
      </c>
      <c r="B8" t="s">
        <v>562</v>
      </c>
      <c r="C8" t="s">
        <v>563</v>
      </c>
      <c r="D8" t="s">
        <v>24</v>
      </c>
      <c r="E8">
        <v>1311</v>
      </c>
      <c r="F8" t="s">
        <v>87</v>
      </c>
      <c r="G8" s="1">
        <v>44305</v>
      </c>
      <c r="H8" s="1">
        <v>45337</v>
      </c>
      <c r="I8" t="b">
        <v>1</v>
      </c>
      <c r="J8">
        <v>35</v>
      </c>
      <c r="K8" s="1">
        <v>45796</v>
      </c>
      <c r="L8">
        <v>2.88</v>
      </c>
      <c r="M8" s="1">
        <v>46203</v>
      </c>
      <c r="N8">
        <v>4.4000000000000004</v>
      </c>
      <c r="O8" s="1">
        <v>46204</v>
      </c>
      <c r="P8">
        <v>595</v>
      </c>
      <c r="Q8" t="s">
        <v>21</v>
      </c>
      <c r="R8" t="s">
        <v>810</v>
      </c>
      <c r="S8">
        <v>11.152777777777777</v>
      </c>
    </row>
    <row r="9" spans="1:19" x14ac:dyDescent="0.35">
      <c r="A9" t="s">
        <v>503</v>
      </c>
      <c r="B9" t="s">
        <v>503</v>
      </c>
      <c r="C9" t="s">
        <v>504</v>
      </c>
      <c r="D9" t="s">
        <v>24</v>
      </c>
      <c r="E9">
        <v>1311</v>
      </c>
      <c r="F9" t="s">
        <v>87</v>
      </c>
      <c r="G9" s="1">
        <v>44538</v>
      </c>
      <c r="H9" s="1">
        <v>44538</v>
      </c>
      <c r="I9" t="b">
        <v>0</v>
      </c>
      <c r="J9">
        <v>19.649999999999999</v>
      </c>
      <c r="K9" s="1">
        <v>44669</v>
      </c>
      <c r="L9">
        <v>6.83</v>
      </c>
      <c r="M9" s="1">
        <v>45756</v>
      </c>
      <c r="N9">
        <v>9.4700000000000006</v>
      </c>
      <c r="O9" s="1">
        <v>46204</v>
      </c>
      <c r="P9">
        <v>1144</v>
      </c>
      <c r="Q9" t="s">
        <v>21</v>
      </c>
      <c r="R9" t="s">
        <v>810</v>
      </c>
      <c r="S9">
        <v>1.8770131771595897</v>
      </c>
    </row>
    <row r="10" spans="1:19" x14ac:dyDescent="0.35">
      <c r="A10" t="s">
        <v>378</v>
      </c>
      <c r="B10" t="s">
        <v>378</v>
      </c>
      <c r="C10" t="s">
        <v>379</v>
      </c>
      <c r="D10" t="s">
        <v>24</v>
      </c>
      <c r="E10">
        <v>1381</v>
      </c>
      <c r="F10" t="s">
        <v>380</v>
      </c>
      <c r="G10" s="1">
        <v>44834</v>
      </c>
      <c r="H10" s="1">
        <v>44834</v>
      </c>
      <c r="I10" t="b">
        <v>0</v>
      </c>
      <c r="J10">
        <v>55.34</v>
      </c>
      <c r="K10" s="1">
        <v>45174</v>
      </c>
      <c r="L10">
        <v>17.399999999999999</v>
      </c>
      <c r="M10" s="1">
        <v>45754</v>
      </c>
      <c r="N10">
        <v>37.08</v>
      </c>
      <c r="O10" s="1">
        <v>46204</v>
      </c>
      <c r="P10">
        <v>940</v>
      </c>
      <c r="Q10" t="s">
        <v>21</v>
      </c>
      <c r="R10" t="s">
        <v>810</v>
      </c>
      <c r="S10">
        <v>2.1804597701149429</v>
      </c>
    </row>
    <row r="11" spans="1:19" x14ac:dyDescent="0.35">
      <c r="A11" t="s">
        <v>305</v>
      </c>
      <c r="B11" t="s">
        <v>305</v>
      </c>
      <c r="C11" t="s">
        <v>306</v>
      </c>
      <c r="D11" t="s">
        <v>24</v>
      </c>
      <c r="E11">
        <v>1311</v>
      </c>
      <c r="F11" t="s">
        <v>87</v>
      </c>
      <c r="G11" s="1">
        <v>44155</v>
      </c>
      <c r="H11" s="1">
        <v>44747</v>
      </c>
      <c r="I11" t="b">
        <v>1</v>
      </c>
      <c r="J11">
        <v>190.23</v>
      </c>
      <c r="K11" s="1">
        <v>45394</v>
      </c>
      <c r="L11">
        <v>79.83</v>
      </c>
      <c r="M11" s="1">
        <v>45756</v>
      </c>
      <c r="N11">
        <v>111.63</v>
      </c>
      <c r="O11" s="1">
        <v>46204</v>
      </c>
      <c r="P11">
        <v>1002</v>
      </c>
      <c r="Q11" t="s">
        <v>21</v>
      </c>
      <c r="R11" t="s">
        <v>810</v>
      </c>
      <c r="S11">
        <v>1.3829387448327695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07C9-AB23-40CD-9A65-47D754A6286F}">
  <dimension ref="A1:S5"/>
  <sheetViews>
    <sheetView workbookViewId="0">
      <selection activeCell="A3" sqref="A3:S5"/>
    </sheetView>
  </sheetViews>
  <sheetFormatPr defaultRowHeight="14.5" x14ac:dyDescent="0.35"/>
  <cols>
    <col min="1" max="1" width="9.1796875" bestFit="1" customWidth="1"/>
    <col min="2" max="2" width="13.36328125" bestFit="1" customWidth="1"/>
    <col min="3" max="3" width="24" bestFit="1" customWidth="1"/>
    <col min="4" max="4" width="17.90625" bestFit="1" customWidth="1"/>
    <col min="5" max="5" width="10.453125" bestFit="1" customWidth="1"/>
    <col min="6" max="6" width="16" bestFit="1" customWidth="1"/>
    <col min="7" max="7" width="10.26953125" bestFit="1" customWidth="1"/>
    <col min="8" max="8" width="16.08984375" bestFit="1" customWidth="1"/>
    <col min="9" max="9" width="17.26953125" bestFit="1" customWidth="1"/>
    <col min="10" max="10" width="10.90625" bestFit="1" customWidth="1"/>
    <col min="11" max="12" width="10.36328125" bestFit="1" customWidth="1"/>
    <col min="13" max="13" width="9.81640625" bestFit="1" customWidth="1"/>
    <col min="14" max="14" width="11.453125" bestFit="1" customWidth="1"/>
    <col min="15" max="15" width="10.7265625" bestFit="1" customWidth="1"/>
    <col min="16" max="16" width="13.7265625" bestFit="1" customWidth="1"/>
    <col min="17" max="17" width="14.36328125" bestFit="1" customWidth="1"/>
    <col min="18" max="18" width="20.08984375" bestFit="1" customWidth="1"/>
    <col min="19" max="19" width="12.6328125" bestFit="1" customWidth="1"/>
  </cols>
  <sheetData>
    <row r="1" spans="1:19" x14ac:dyDescent="0.35">
      <c r="A1" s="14" t="s">
        <v>818</v>
      </c>
    </row>
    <row r="3" spans="1:19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805</v>
      </c>
      <c r="S3" t="s">
        <v>812</v>
      </c>
    </row>
    <row r="4" spans="1:19" x14ac:dyDescent="0.35">
      <c r="A4" t="s">
        <v>625</v>
      </c>
      <c r="B4" t="s">
        <v>625</v>
      </c>
      <c r="C4" t="s">
        <v>626</v>
      </c>
      <c r="D4" t="s">
        <v>127</v>
      </c>
      <c r="G4" s="1">
        <v>44483</v>
      </c>
      <c r="H4" s="1">
        <v>44483</v>
      </c>
      <c r="I4" t="b">
        <v>0</v>
      </c>
      <c r="J4">
        <v>18.48</v>
      </c>
      <c r="K4" s="1">
        <v>44483</v>
      </c>
      <c r="L4">
        <v>2.1800000000000002</v>
      </c>
      <c r="M4" s="1">
        <v>45363</v>
      </c>
      <c r="N4">
        <v>8.1999999999999993</v>
      </c>
      <c r="O4" s="1">
        <v>46204</v>
      </c>
      <c r="P4">
        <v>1182</v>
      </c>
      <c r="Q4" t="s">
        <v>21</v>
      </c>
      <c r="R4" t="s">
        <v>810</v>
      </c>
      <c r="S4">
        <v>7.477064220183486</v>
      </c>
    </row>
    <row r="5" spans="1:19" x14ac:dyDescent="0.35">
      <c r="A5" t="s">
        <v>396</v>
      </c>
      <c r="B5" t="s">
        <v>397</v>
      </c>
      <c r="C5" t="s">
        <v>398</v>
      </c>
      <c r="D5" t="s">
        <v>127</v>
      </c>
      <c r="Q5" t="s">
        <v>399</v>
      </c>
      <c r="R5" t="s">
        <v>810</v>
      </c>
      <c r="S5" t="e"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6C9F-0738-4162-9282-78604D0FA220}">
  <dimension ref="A3:G18"/>
  <sheetViews>
    <sheetView workbookViewId="0">
      <selection activeCell="F7" sqref="F7"/>
    </sheetView>
  </sheetViews>
  <sheetFormatPr defaultRowHeight="14.5" x14ac:dyDescent="0.35"/>
  <cols>
    <col min="1" max="1" width="21.08984375" bestFit="1" customWidth="1"/>
    <col min="2" max="2" width="19.453125" style="16" bestFit="1" customWidth="1"/>
    <col min="3" max="3" width="13.1796875" bestFit="1" customWidth="1"/>
    <col min="4" max="4" width="20.90625" style="15" bestFit="1" customWidth="1"/>
    <col min="5" max="5" width="13.1796875" bestFit="1" customWidth="1"/>
    <col min="6" max="6" width="24" bestFit="1" customWidth="1"/>
    <col min="7" max="7" width="17.7265625" bestFit="1" customWidth="1"/>
    <col min="8" max="13" width="11.81640625" bestFit="1" customWidth="1"/>
    <col min="14" max="14" width="10.81640625" bestFit="1" customWidth="1"/>
    <col min="15" max="15" width="11.81640625" bestFit="1" customWidth="1"/>
    <col min="16" max="16" width="5.81640625" bestFit="1" customWidth="1"/>
    <col min="17" max="18" width="11.81640625" bestFit="1" customWidth="1"/>
    <col min="19" max="19" width="10.81640625" bestFit="1" customWidth="1"/>
    <col min="20" max="41" width="11.81640625" bestFit="1" customWidth="1"/>
    <col min="42" max="42" width="10.81640625" bestFit="1" customWidth="1"/>
    <col min="43" max="62" width="11.81640625" bestFit="1" customWidth="1"/>
    <col min="63" max="63" width="10.81640625" bestFit="1" customWidth="1"/>
    <col min="64" max="67" width="11.81640625" bestFit="1" customWidth="1"/>
    <col min="68" max="68" width="10.81640625" bestFit="1" customWidth="1"/>
    <col min="69" max="75" width="11.81640625" bestFit="1" customWidth="1"/>
    <col min="76" max="76" width="10.81640625" bestFit="1" customWidth="1"/>
    <col min="77" max="83" width="11.81640625" bestFit="1" customWidth="1"/>
    <col min="84" max="84" width="10.81640625" bestFit="1" customWidth="1"/>
    <col min="85" max="85" width="5.81640625" bestFit="1" customWidth="1"/>
    <col min="86" max="96" width="11.81640625" bestFit="1" customWidth="1"/>
    <col min="97" max="97" width="9.81640625" bestFit="1" customWidth="1"/>
    <col min="98" max="101" width="11.81640625" bestFit="1" customWidth="1"/>
    <col min="102" max="102" width="4.81640625" bestFit="1" customWidth="1"/>
    <col min="103" max="103" width="11.81640625" bestFit="1" customWidth="1"/>
    <col min="104" max="104" width="10.81640625" bestFit="1" customWidth="1"/>
    <col min="105" max="141" width="11.81640625" bestFit="1" customWidth="1"/>
    <col min="142" max="142" width="10.81640625" bestFit="1" customWidth="1"/>
    <col min="143" max="151" width="11.81640625" bestFit="1" customWidth="1"/>
    <col min="152" max="152" width="10.81640625" bestFit="1" customWidth="1"/>
    <col min="153" max="153" width="9.81640625" bestFit="1" customWidth="1"/>
    <col min="154" max="156" width="11.81640625" bestFit="1" customWidth="1"/>
    <col min="157" max="157" width="10.81640625" bestFit="1" customWidth="1"/>
    <col min="158" max="173" width="11.81640625" bestFit="1" customWidth="1"/>
    <col min="174" max="174" width="10.81640625" bestFit="1" customWidth="1"/>
    <col min="175" max="179" width="11.81640625" bestFit="1" customWidth="1"/>
    <col min="180" max="180" width="10.81640625" bestFit="1" customWidth="1"/>
    <col min="181" max="186" width="11.81640625" bestFit="1" customWidth="1"/>
    <col min="187" max="187" width="22.36328125" bestFit="1" customWidth="1"/>
    <col min="188" max="188" width="22.6328125" bestFit="1" customWidth="1"/>
    <col min="189" max="193" width="11.81640625" bestFit="1" customWidth="1"/>
    <col min="194" max="194" width="10.81640625" bestFit="1" customWidth="1"/>
    <col min="195" max="203" width="11.81640625" bestFit="1" customWidth="1"/>
    <col min="204" max="204" width="10.81640625" bestFit="1" customWidth="1"/>
    <col min="205" max="214" width="11.81640625" bestFit="1" customWidth="1"/>
    <col min="215" max="215" width="10.81640625" bestFit="1" customWidth="1"/>
    <col min="216" max="225" width="11.81640625" bestFit="1" customWidth="1"/>
    <col min="226" max="226" width="10.81640625" bestFit="1" customWidth="1"/>
    <col min="227" max="228" width="11.81640625" bestFit="1" customWidth="1"/>
    <col min="229" max="229" width="10.81640625" bestFit="1" customWidth="1"/>
    <col min="230" max="230" width="11.81640625" bestFit="1" customWidth="1"/>
    <col min="231" max="231" width="10.81640625" bestFit="1" customWidth="1"/>
    <col min="232" max="238" width="11.81640625" bestFit="1" customWidth="1"/>
    <col min="239" max="239" width="10.81640625" bestFit="1" customWidth="1"/>
    <col min="240" max="245" width="11.81640625" bestFit="1" customWidth="1"/>
    <col min="246" max="246" width="10.81640625" bestFit="1" customWidth="1"/>
    <col min="247" max="257" width="11.81640625" bestFit="1" customWidth="1"/>
    <col min="258" max="258" width="3.81640625" bestFit="1" customWidth="1"/>
    <col min="259" max="264" width="11.81640625" bestFit="1" customWidth="1"/>
    <col min="265" max="265" width="10.81640625" bestFit="1" customWidth="1"/>
    <col min="266" max="275" width="11.81640625" bestFit="1" customWidth="1"/>
    <col min="276" max="276" width="10.81640625" bestFit="1" customWidth="1"/>
    <col min="277" max="278" width="11.81640625" bestFit="1" customWidth="1"/>
    <col min="279" max="279" width="10.81640625" bestFit="1" customWidth="1"/>
    <col min="280" max="281" width="11.81640625" bestFit="1" customWidth="1"/>
    <col min="282" max="282" width="5.81640625" bestFit="1" customWidth="1"/>
    <col min="283" max="288" width="11.81640625" bestFit="1" customWidth="1"/>
    <col min="289" max="289" width="10.81640625" bestFit="1" customWidth="1"/>
    <col min="290" max="290" width="11.81640625" bestFit="1" customWidth="1"/>
    <col min="291" max="291" width="10.81640625" bestFit="1" customWidth="1"/>
    <col min="292" max="292" width="11.81640625" bestFit="1" customWidth="1"/>
    <col min="293" max="293" width="10.81640625" bestFit="1" customWidth="1"/>
    <col min="294" max="307" width="11.81640625" bestFit="1" customWidth="1"/>
    <col min="308" max="309" width="5.81640625" bestFit="1" customWidth="1"/>
    <col min="310" max="311" width="11.81640625" bestFit="1" customWidth="1"/>
    <col min="312" max="312" width="10.81640625" bestFit="1" customWidth="1"/>
    <col min="313" max="322" width="11.81640625" bestFit="1" customWidth="1"/>
    <col min="323" max="323" width="9.81640625" bestFit="1" customWidth="1"/>
    <col min="324" max="325" width="11.81640625" bestFit="1" customWidth="1"/>
    <col min="326" max="326" width="7.08984375" bestFit="1" customWidth="1"/>
    <col min="327" max="327" width="25.54296875" bestFit="1" customWidth="1"/>
    <col min="328" max="328" width="10.36328125" bestFit="1" customWidth="1"/>
  </cols>
  <sheetData>
    <row r="3" spans="1:7" x14ac:dyDescent="0.35">
      <c r="B3" s="18" t="s">
        <v>808</v>
      </c>
      <c r="D3"/>
    </row>
    <row r="4" spans="1:7" x14ac:dyDescent="0.35">
      <c r="B4" s="17" t="s">
        <v>809</v>
      </c>
      <c r="C4" s="17"/>
      <c r="D4" t="s">
        <v>810</v>
      </c>
      <c r="F4" t="s">
        <v>813</v>
      </c>
      <c r="G4" t="s">
        <v>815</v>
      </c>
    </row>
    <row r="5" spans="1:7" x14ac:dyDescent="0.35">
      <c r="A5" s="11" t="s">
        <v>806</v>
      </c>
      <c r="B5" s="17" t="s">
        <v>814</v>
      </c>
      <c r="C5" t="s">
        <v>816</v>
      </c>
      <c r="D5" t="s">
        <v>814</v>
      </c>
      <c r="E5" t="s">
        <v>816</v>
      </c>
    </row>
    <row r="6" spans="1:7" x14ac:dyDescent="0.35">
      <c r="A6" s="12" t="s">
        <v>27</v>
      </c>
      <c r="B6" s="17">
        <v>23.061733375702957</v>
      </c>
      <c r="C6" s="13">
        <v>35</v>
      </c>
      <c r="D6" s="13">
        <v>7.4633885291435051</v>
      </c>
      <c r="E6" s="13">
        <v>40</v>
      </c>
      <c r="F6" s="13">
        <v>14.742616124204581</v>
      </c>
      <c r="G6" s="13">
        <v>75</v>
      </c>
    </row>
    <row r="7" spans="1:7" x14ac:dyDescent="0.35">
      <c r="A7" s="12" t="s">
        <v>45</v>
      </c>
      <c r="B7" s="17">
        <v>7.5104184403130017</v>
      </c>
      <c r="C7" s="13">
        <v>36</v>
      </c>
      <c r="D7" s="13">
        <v>13.725242873149623</v>
      </c>
      <c r="E7" s="13">
        <v>27</v>
      </c>
      <c r="F7" s="13">
        <v>10.173914625814408</v>
      </c>
      <c r="G7" s="13">
        <v>63</v>
      </c>
    </row>
    <row r="8" spans="1:7" x14ac:dyDescent="0.35">
      <c r="A8" s="12" t="s">
        <v>68</v>
      </c>
      <c r="B8" s="17">
        <v>44.25265311515232</v>
      </c>
      <c r="C8" s="13">
        <v>34</v>
      </c>
      <c r="D8" s="13">
        <v>9.8121322884690105</v>
      </c>
      <c r="E8" s="13">
        <v>13</v>
      </c>
      <c r="F8" s="13">
        <v>34.726551609899488</v>
      </c>
      <c r="G8" s="13">
        <v>47</v>
      </c>
    </row>
    <row r="9" spans="1:7" x14ac:dyDescent="0.35">
      <c r="A9" s="12" t="s">
        <v>30</v>
      </c>
      <c r="B9" s="17">
        <v>7.5672411346259221</v>
      </c>
      <c r="C9" s="13">
        <v>23</v>
      </c>
      <c r="D9" s="13">
        <v>18.031219582514169</v>
      </c>
      <c r="E9" s="13">
        <v>10</v>
      </c>
      <c r="F9" s="13">
        <v>10.738143694592058</v>
      </c>
      <c r="G9" s="13">
        <v>33</v>
      </c>
    </row>
    <row r="10" spans="1:7" x14ac:dyDescent="0.35">
      <c r="A10" s="12" t="s">
        <v>84</v>
      </c>
      <c r="B10" s="17">
        <v>2.9208209680382287</v>
      </c>
      <c r="C10" s="13">
        <v>8</v>
      </c>
      <c r="D10" s="13">
        <v>6.0656524684946227</v>
      </c>
      <c r="E10" s="13">
        <v>15</v>
      </c>
      <c r="F10" s="13">
        <v>4.9717980335532683</v>
      </c>
      <c r="G10" s="13">
        <v>23</v>
      </c>
    </row>
    <row r="11" spans="1:7" x14ac:dyDescent="0.35">
      <c r="A11" s="12" t="s">
        <v>24</v>
      </c>
      <c r="B11" s="17">
        <v>2.0464599880643557</v>
      </c>
      <c r="C11" s="13">
        <v>11</v>
      </c>
      <c r="D11" s="13">
        <v>4.1509980045180681</v>
      </c>
      <c r="E11" s="13">
        <v>7</v>
      </c>
      <c r="F11" s="13">
        <v>2.8648914389074664</v>
      </c>
      <c r="G11" s="13">
        <v>18</v>
      </c>
    </row>
    <row r="12" spans="1:7" x14ac:dyDescent="0.35">
      <c r="A12" s="12" t="s">
        <v>37</v>
      </c>
      <c r="B12" s="17">
        <v>3.8423642425709366</v>
      </c>
      <c r="C12" s="13">
        <v>13</v>
      </c>
      <c r="D12" s="13">
        <v>6.4294715380855365</v>
      </c>
      <c r="E12" s="13">
        <v>5</v>
      </c>
      <c r="F12" s="13">
        <v>4.5610051579916586</v>
      </c>
      <c r="G12" s="13">
        <v>18</v>
      </c>
    </row>
    <row r="13" spans="1:7" x14ac:dyDescent="0.35">
      <c r="A13" s="12" t="s">
        <v>64</v>
      </c>
      <c r="B13" s="17">
        <v>4.9778697392279803</v>
      </c>
      <c r="C13" s="13">
        <v>6</v>
      </c>
      <c r="D13" s="13">
        <v>5.9670660257735024</v>
      </c>
      <c r="E13" s="13">
        <v>11</v>
      </c>
      <c r="F13" s="13">
        <v>5.6179379246397891</v>
      </c>
      <c r="G13" s="13">
        <v>17</v>
      </c>
    </row>
    <row r="14" spans="1:7" x14ac:dyDescent="0.35">
      <c r="A14" s="12" t="s">
        <v>105</v>
      </c>
      <c r="B14" s="17">
        <v>6.0157393444468141</v>
      </c>
      <c r="C14" s="13">
        <v>8</v>
      </c>
      <c r="D14" s="13">
        <v>15.176648614208348</v>
      </c>
      <c r="E14" s="13">
        <v>2</v>
      </c>
      <c r="F14" s="13">
        <v>7.8479211983991206</v>
      </c>
      <c r="G14" s="13">
        <v>10</v>
      </c>
    </row>
    <row r="15" spans="1:7" x14ac:dyDescent="0.35">
      <c r="A15" s="12" t="s">
        <v>19</v>
      </c>
      <c r="B15" s="17">
        <v>13.47802561837092</v>
      </c>
      <c r="C15" s="13">
        <v>6</v>
      </c>
      <c r="D15" s="13">
        <v>3.4648770614592319</v>
      </c>
      <c r="E15" s="13">
        <v>4</v>
      </c>
      <c r="F15" s="13">
        <v>9.4727661956062441</v>
      </c>
      <c r="G15" s="13">
        <v>10</v>
      </c>
    </row>
    <row r="16" spans="1:7" x14ac:dyDescent="0.35">
      <c r="A16" s="12" t="s">
        <v>41</v>
      </c>
      <c r="B16" s="17">
        <v>6.1828903923961356</v>
      </c>
      <c r="C16" s="13">
        <v>2</v>
      </c>
      <c r="D16" s="13">
        <v>3.5428433679929809</v>
      </c>
      <c r="E16" s="13">
        <v>3</v>
      </c>
      <c r="F16" s="13">
        <v>4.5988621777542438</v>
      </c>
      <c r="G16" s="13">
        <v>5</v>
      </c>
    </row>
    <row r="17" spans="1:7" x14ac:dyDescent="0.35">
      <c r="A17" s="12" t="s">
        <v>127</v>
      </c>
      <c r="B17" s="17">
        <v>23.657843288268868</v>
      </c>
      <c r="C17" s="13">
        <v>3</v>
      </c>
      <c r="D17" s="13">
        <v>7.477064220183486</v>
      </c>
      <c r="E17" s="13">
        <v>1</v>
      </c>
      <c r="F17" s="13">
        <v>19.612648521247522</v>
      </c>
      <c r="G17" s="13">
        <v>4</v>
      </c>
    </row>
    <row r="18" spans="1:7" x14ac:dyDescent="0.35">
      <c r="A18" s="12" t="s">
        <v>807</v>
      </c>
      <c r="B18" s="17">
        <v>16.725413212592699</v>
      </c>
      <c r="C18" s="13">
        <v>185</v>
      </c>
      <c r="D18" s="13">
        <v>9.1096541387494003</v>
      </c>
      <c r="E18" s="13">
        <v>138</v>
      </c>
      <c r="F18" s="13">
        <v>13.471621410145715</v>
      </c>
      <c r="G18" s="13">
        <v>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56D4-896E-40A1-B15A-8451D5F3B067}">
  <dimension ref="A3:C20"/>
  <sheetViews>
    <sheetView tabSelected="1" workbookViewId="0">
      <selection activeCell="S4" sqref="S4"/>
    </sheetView>
  </sheetViews>
  <sheetFormatPr defaultRowHeight="14.5" x14ac:dyDescent="0.35"/>
  <sheetData>
    <row r="3" spans="1:3" x14ac:dyDescent="0.35">
      <c r="A3" s="2"/>
      <c r="B3" s="3"/>
      <c r="C3" s="4"/>
    </row>
    <row r="4" spans="1:3" x14ac:dyDescent="0.35">
      <c r="A4" s="5"/>
      <c r="B4" s="6"/>
      <c r="C4" s="7"/>
    </row>
    <row r="5" spans="1:3" x14ac:dyDescent="0.35">
      <c r="A5" s="5"/>
      <c r="B5" s="6"/>
      <c r="C5" s="7"/>
    </row>
    <row r="6" spans="1:3" x14ac:dyDescent="0.35">
      <c r="A6" s="5"/>
      <c r="B6" s="6"/>
      <c r="C6" s="7"/>
    </row>
    <row r="7" spans="1:3" x14ac:dyDescent="0.35">
      <c r="A7" s="5"/>
      <c r="B7" s="6"/>
      <c r="C7" s="7"/>
    </row>
    <row r="8" spans="1:3" x14ac:dyDescent="0.35">
      <c r="A8" s="5"/>
      <c r="B8" s="6"/>
      <c r="C8" s="7"/>
    </row>
    <row r="9" spans="1:3" x14ac:dyDescent="0.35">
      <c r="A9" s="5"/>
      <c r="B9" s="6"/>
      <c r="C9" s="7"/>
    </row>
    <row r="10" spans="1:3" x14ac:dyDescent="0.35">
      <c r="A10" s="5"/>
      <c r="B10" s="6"/>
      <c r="C10" s="7"/>
    </row>
    <row r="11" spans="1:3" x14ac:dyDescent="0.35">
      <c r="A11" s="5"/>
      <c r="B11" s="6"/>
      <c r="C11" s="7"/>
    </row>
    <row r="12" spans="1:3" x14ac:dyDescent="0.35">
      <c r="A12" s="5"/>
      <c r="B12" s="6"/>
      <c r="C12" s="7"/>
    </row>
    <row r="13" spans="1:3" x14ac:dyDescent="0.35">
      <c r="A13" s="5"/>
      <c r="B13" s="6"/>
      <c r="C13" s="7"/>
    </row>
    <row r="14" spans="1:3" x14ac:dyDescent="0.35">
      <c r="A14" s="5"/>
      <c r="B14" s="6"/>
      <c r="C14" s="7"/>
    </row>
    <row r="15" spans="1:3" x14ac:dyDescent="0.35">
      <c r="A15" s="5"/>
      <c r="B15" s="6"/>
      <c r="C15" s="7"/>
    </row>
    <row r="16" spans="1:3" x14ac:dyDescent="0.35">
      <c r="A16" s="5"/>
      <c r="B16" s="6"/>
      <c r="C16" s="7"/>
    </row>
    <row r="17" spans="1:3" x14ac:dyDescent="0.35">
      <c r="A17" s="5"/>
      <c r="B17" s="6"/>
      <c r="C17" s="7"/>
    </row>
    <row r="18" spans="1:3" x14ac:dyDescent="0.35">
      <c r="A18" s="5"/>
      <c r="B18" s="6"/>
      <c r="C18" s="7"/>
    </row>
    <row r="19" spans="1:3" x14ac:dyDescent="0.35">
      <c r="A19" s="5"/>
      <c r="B19" s="6"/>
      <c r="C19" s="7"/>
    </row>
    <row r="20" spans="1:3" x14ac:dyDescent="0.35">
      <c r="A20" s="8"/>
      <c r="B20" s="9"/>
      <c r="C20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6170-D278-4F54-A97B-33E52B299544}">
  <dimension ref="A1:S324"/>
  <sheetViews>
    <sheetView workbookViewId="0">
      <selection sqref="A1:XFD1048576"/>
    </sheetView>
  </sheetViews>
  <sheetFormatPr defaultRowHeight="14.5" x14ac:dyDescent="0.35"/>
  <cols>
    <col min="2" max="2" width="13.08984375" customWidth="1"/>
    <col min="5" max="5" width="10.1796875" customWidth="1"/>
    <col min="6" max="6" width="15.6328125" customWidth="1"/>
    <col min="7" max="7" width="10.08984375" bestFit="1" customWidth="1"/>
    <col min="8" max="8" width="15.7265625" customWidth="1"/>
    <col min="9" max="9" width="16.90625" customWidth="1"/>
    <col min="10" max="10" width="10.6328125" customWidth="1"/>
    <col min="11" max="11" width="10.08984375" bestFit="1" customWidth="1"/>
    <col min="12" max="12" width="10.08984375" customWidth="1"/>
    <col min="13" max="13" width="10.08984375" bestFit="1" customWidth="1"/>
    <col min="14" max="14" width="11.1796875" customWidth="1"/>
    <col min="15" max="15" width="10.453125" customWidth="1"/>
    <col min="16" max="16" width="13.453125" customWidth="1"/>
    <col min="18" max="18" width="20.08984375" bestFit="1" customWidth="1"/>
    <col min="19" max="19" width="12.36328125" style="1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805</v>
      </c>
      <c r="S1" s="15" t="s">
        <v>812</v>
      </c>
    </row>
    <row r="2" spans="1:19" x14ac:dyDescent="0.35">
      <c r="A2" t="s">
        <v>17</v>
      </c>
      <c r="B2" t="s">
        <v>17</v>
      </c>
      <c r="C2" t="s">
        <v>18</v>
      </c>
      <c r="D2" t="s">
        <v>19</v>
      </c>
      <c r="E2">
        <v>7372</v>
      </c>
      <c r="F2" t="s">
        <v>20</v>
      </c>
      <c r="G2" s="1">
        <v>44104</v>
      </c>
      <c r="H2" s="1">
        <v>44379</v>
      </c>
      <c r="I2" t="b">
        <v>1</v>
      </c>
      <c r="J2">
        <v>207.52</v>
      </c>
      <c r="K2" s="1">
        <v>45964</v>
      </c>
      <c r="L2">
        <v>5.84</v>
      </c>
      <c r="M2" s="1">
        <v>44950</v>
      </c>
      <c r="N2">
        <v>125.73</v>
      </c>
      <c r="O2" s="1">
        <v>46204</v>
      </c>
      <c r="P2">
        <v>1254</v>
      </c>
      <c r="Q2" t="s">
        <v>21</v>
      </c>
      <c r="R2" t="str">
        <f>IF(K2&gt;M2,"has made new highs","has not made new highs")</f>
        <v>has made new highs</v>
      </c>
      <c r="S2" s="15">
        <f>(J2-L2)/L2</f>
        <v>34.534246575342465</v>
      </c>
    </row>
    <row r="3" spans="1:19" x14ac:dyDescent="0.35">
      <c r="A3" t="s">
        <v>22</v>
      </c>
      <c r="B3" t="s">
        <v>22</v>
      </c>
      <c r="C3" t="s">
        <v>23</v>
      </c>
      <c r="D3" t="s">
        <v>24</v>
      </c>
      <c r="G3" s="1">
        <v>30753</v>
      </c>
      <c r="H3" s="1">
        <v>44593</v>
      </c>
      <c r="I3" t="b">
        <v>1</v>
      </c>
      <c r="J3">
        <v>94.9</v>
      </c>
      <c r="K3" s="1">
        <v>46112</v>
      </c>
      <c r="L3">
        <v>44.9</v>
      </c>
      <c r="M3" s="1">
        <v>44756</v>
      </c>
      <c r="N3">
        <v>76.569999999999993</v>
      </c>
      <c r="O3" s="1">
        <v>46204</v>
      </c>
      <c r="P3">
        <v>1107</v>
      </c>
      <c r="Q3" t="s">
        <v>21</v>
      </c>
      <c r="R3" t="str">
        <f t="shared" ref="R3:R66" si="0">IF(K3&gt;M3,"has made new highs","has not made new highs")</f>
        <v>has made new highs</v>
      </c>
      <c r="S3" s="15">
        <f t="shared" ref="S3:S66" si="1">(J3-L3)/L3</f>
        <v>1.1135857461024501</v>
      </c>
    </row>
    <row r="4" spans="1:19" x14ac:dyDescent="0.35">
      <c r="A4" t="s">
        <v>25</v>
      </c>
      <c r="B4" t="s">
        <v>25</v>
      </c>
      <c r="C4" t="s">
        <v>26</v>
      </c>
      <c r="D4" t="s">
        <v>27</v>
      </c>
      <c r="G4" s="1">
        <v>45183</v>
      </c>
      <c r="H4" s="1">
        <v>45183</v>
      </c>
      <c r="I4" t="b">
        <v>0</v>
      </c>
      <c r="J4">
        <v>452.7</v>
      </c>
      <c r="K4" s="1">
        <v>46191</v>
      </c>
      <c r="L4">
        <v>46.5</v>
      </c>
      <c r="M4" s="1">
        <v>45219</v>
      </c>
      <c r="N4">
        <v>337.47</v>
      </c>
      <c r="O4" s="1">
        <v>46204</v>
      </c>
      <c r="P4">
        <v>701</v>
      </c>
      <c r="Q4" t="s">
        <v>21</v>
      </c>
      <c r="R4" t="str">
        <f t="shared" si="0"/>
        <v>has made new highs</v>
      </c>
      <c r="S4" s="15">
        <f t="shared" si="1"/>
        <v>8.7354838709677409</v>
      </c>
    </row>
    <row r="5" spans="1:19" x14ac:dyDescent="0.35">
      <c r="A5" t="s">
        <v>28</v>
      </c>
      <c r="B5" t="s">
        <v>28</v>
      </c>
      <c r="C5" t="s">
        <v>29</v>
      </c>
      <c r="D5" t="s">
        <v>30</v>
      </c>
      <c r="E5">
        <v>3600</v>
      </c>
      <c r="F5" t="s">
        <v>31</v>
      </c>
      <c r="G5" s="1">
        <v>45378</v>
      </c>
      <c r="H5" s="1">
        <v>45384</v>
      </c>
      <c r="I5" t="b">
        <v>1</v>
      </c>
      <c r="J5">
        <v>1181.95</v>
      </c>
      <c r="K5" s="1">
        <v>46135</v>
      </c>
      <c r="L5">
        <v>119</v>
      </c>
      <c r="M5" s="1">
        <v>45387</v>
      </c>
      <c r="N5">
        <v>1134.3499999999999</v>
      </c>
      <c r="O5" s="1">
        <v>46204</v>
      </c>
      <c r="P5">
        <v>564</v>
      </c>
      <c r="Q5" t="s">
        <v>21</v>
      </c>
      <c r="R5" t="str">
        <f t="shared" si="0"/>
        <v>has made new highs</v>
      </c>
      <c r="S5" s="15">
        <f t="shared" si="1"/>
        <v>8.9323529411764717</v>
      </c>
    </row>
    <row r="6" spans="1:19" x14ac:dyDescent="0.35">
      <c r="A6" t="s">
        <v>32</v>
      </c>
      <c r="B6" t="s">
        <v>32</v>
      </c>
      <c r="C6" t="s">
        <v>33</v>
      </c>
      <c r="D6" t="s">
        <v>27</v>
      </c>
      <c r="E6">
        <v>7370</v>
      </c>
      <c r="F6" t="s">
        <v>34</v>
      </c>
      <c r="G6" s="1">
        <v>44301</v>
      </c>
      <c r="H6" s="1">
        <v>44379</v>
      </c>
      <c r="I6" t="b">
        <v>1</v>
      </c>
      <c r="J6">
        <v>745.61</v>
      </c>
      <c r="K6" s="1">
        <v>45929</v>
      </c>
      <c r="L6">
        <v>9.14</v>
      </c>
      <c r="M6" s="1">
        <v>44923</v>
      </c>
      <c r="N6">
        <v>564.61</v>
      </c>
      <c r="O6" s="1">
        <v>46204</v>
      </c>
      <c r="P6">
        <v>1254</v>
      </c>
      <c r="Q6" t="s">
        <v>21</v>
      </c>
      <c r="R6" t="str">
        <f t="shared" si="0"/>
        <v>has made new highs</v>
      </c>
      <c r="S6" s="15">
        <f t="shared" si="1"/>
        <v>80.576586433260388</v>
      </c>
    </row>
    <row r="7" spans="1:19" x14ac:dyDescent="0.35">
      <c r="A7" t="s">
        <v>35</v>
      </c>
      <c r="B7" t="s">
        <v>35</v>
      </c>
      <c r="C7" t="s">
        <v>36</v>
      </c>
      <c r="D7" t="s">
        <v>37</v>
      </c>
      <c r="E7">
        <v>7389</v>
      </c>
      <c r="F7" t="s">
        <v>38</v>
      </c>
      <c r="G7" s="1">
        <v>44174</v>
      </c>
      <c r="H7" s="1">
        <v>44379</v>
      </c>
      <c r="I7" t="b">
        <v>1</v>
      </c>
      <c r="J7">
        <v>285.5</v>
      </c>
      <c r="K7" s="1">
        <v>45946</v>
      </c>
      <c r="L7">
        <v>41.365000000000002</v>
      </c>
      <c r="M7" s="1">
        <v>44858</v>
      </c>
      <c r="N7">
        <v>188.87</v>
      </c>
      <c r="O7" s="1">
        <v>46204</v>
      </c>
      <c r="P7">
        <v>1254</v>
      </c>
      <c r="Q7" t="s">
        <v>21</v>
      </c>
      <c r="R7" t="str">
        <f t="shared" si="0"/>
        <v>has made new highs</v>
      </c>
      <c r="S7" s="15">
        <f t="shared" si="1"/>
        <v>5.9019702647165477</v>
      </c>
    </row>
    <row r="8" spans="1:19" x14ac:dyDescent="0.35">
      <c r="A8" t="s">
        <v>39</v>
      </c>
      <c r="B8" t="s">
        <v>39</v>
      </c>
      <c r="C8" t="s">
        <v>40</v>
      </c>
      <c r="D8" t="s">
        <v>41</v>
      </c>
      <c r="E8">
        <v>4911</v>
      </c>
      <c r="F8" t="s">
        <v>42</v>
      </c>
      <c r="G8" s="1">
        <v>44580</v>
      </c>
      <c r="H8" s="1">
        <v>44594</v>
      </c>
      <c r="I8" t="b">
        <v>1</v>
      </c>
      <c r="J8">
        <v>412.7</v>
      </c>
      <c r="K8" s="1">
        <v>45945</v>
      </c>
      <c r="L8">
        <v>42.18</v>
      </c>
      <c r="M8" s="1">
        <v>44615</v>
      </c>
      <c r="N8">
        <v>236.5</v>
      </c>
      <c r="O8" s="1">
        <v>46204</v>
      </c>
      <c r="P8">
        <v>1106</v>
      </c>
      <c r="Q8" t="s">
        <v>21</v>
      </c>
      <c r="R8" t="str">
        <f t="shared" si="0"/>
        <v>has made new highs</v>
      </c>
      <c r="S8" s="15">
        <f t="shared" si="1"/>
        <v>8.7842579421526779</v>
      </c>
    </row>
    <row r="9" spans="1:19" x14ac:dyDescent="0.35">
      <c r="A9" t="s">
        <v>43</v>
      </c>
      <c r="B9" t="s">
        <v>43</v>
      </c>
      <c r="C9" t="s">
        <v>44</v>
      </c>
      <c r="D9" t="s">
        <v>45</v>
      </c>
      <c r="E9">
        <v>6199</v>
      </c>
      <c r="F9" t="s">
        <v>46</v>
      </c>
      <c r="G9" s="1">
        <v>44300</v>
      </c>
      <c r="H9" s="1">
        <v>44379</v>
      </c>
      <c r="I9" t="b">
        <v>1</v>
      </c>
      <c r="J9">
        <v>444.64499999999998</v>
      </c>
      <c r="K9" s="1">
        <v>45856</v>
      </c>
      <c r="L9">
        <v>31.55</v>
      </c>
      <c r="M9" s="1">
        <v>44932</v>
      </c>
      <c r="N9">
        <v>159.24</v>
      </c>
      <c r="O9" s="1">
        <v>46204</v>
      </c>
      <c r="P9">
        <v>1254</v>
      </c>
      <c r="Q9" t="s">
        <v>21</v>
      </c>
      <c r="R9" t="str">
        <f t="shared" si="0"/>
        <v>has made new highs</v>
      </c>
      <c r="S9" s="15">
        <f t="shared" si="1"/>
        <v>13.093343898573691</v>
      </c>
    </row>
    <row r="10" spans="1:19" x14ac:dyDescent="0.35">
      <c r="A10" t="s">
        <v>47</v>
      </c>
      <c r="B10" t="s">
        <v>47</v>
      </c>
      <c r="C10" t="s">
        <v>48</v>
      </c>
      <c r="D10" t="s">
        <v>45</v>
      </c>
      <c r="E10">
        <v>6282</v>
      </c>
      <c r="F10" t="s">
        <v>49</v>
      </c>
      <c r="G10" s="1">
        <v>44896</v>
      </c>
      <c r="H10" s="1">
        <v>44896</v>
      </c>
      <c r="I10" t="b">
        <v>0</v>
      </c>
      <c r="J10">
        <v>64.099999999999994</v>
      </c>
      <c r="K10" s="1">
        <v>45875</v>
      </c>
      <c r="L10">
        <v>26.76</v>
      </c>
      <c r="M10" s="1">
        <v>44911</v>
      </c>
      <c r="N10">
        <v>45.4</v>
      </c>
      <c r="O10" s="1">
        <v>46204</v>
      </c>
      <c r="P10">
        <v>897</v>
      </c>
      <c r="Q10" t="s">
        <v>21</v>
      </c>
      <c r="R10" t="str">
        <f t="shared" si="0"/>
        <v>has made new highs</v>
      </c>
      <c r="S10" s="15">
        <f t="shared" si="1"/>
        <v>1.395366218236173</v>
      </c>
    </row>
    <row r="11" spans="1:19" x14ac:dyDescent="0.35">
      <c r="A11" t="s">
        <v>50</v>
      </c>
      <c r="B11" t="s">
        <v>50</v>
      </c>
      <c r="C11" t="s">
        <v>51</v>
      </c>
      <c r="D11" t="s">
        <v>37</v>
      </c>
      <c r="E11">
        <v>7340</v>
      </c>
      <c r="F11" t="s">
        <v>52</v>
      </c>
      <c r="G11" s="1">
        <v>44175</v>
      </c>
      <c r="H11" s="1">
        <v>44379</v>
      </c>
      <c r="I11" t="b">
        <v>1</v>
      </c>
      <c r="J11">
        <v>212.5838</v>
      </c>
      <c r="K11" s="1">
        <v>44517</v>
      </c>
      <c r="L11">
        <v>81.91</v>
      </c>
      <c r="M11" s="1">
        <v>44923</v>
      </c>
      <c r="N11">
        <v>147.31</v>
      </c>
      <c r="O11" s="1">
        <v>46204</v>
      </c>
      <c r="P11">
        <v>1254</v>
      </c>
      <c r="Q11" t="s">
        <v>21</v>
      </c>
      <c r="R11" t="str">
        <f t="shared" si="0"/>
        <v>has not made new highs</v>
      </c>
      <c r="S11" s="15">
        <f t="shared" si="1"/>
        <v>1.595333903064339</v>
      </c>
    </row>
    <row r="12" spans="1:19" x14ac:dyDescent="0.35">
      <c r="A12" t="s">
        <v>53</v>
      </c>
      <c r="B12" t="s">
        <v>53</v>
      </c>
      <c r="C12" t="s">
        <v>54</v>
      </c>
      <c r="D12" t="s">
        <v>45</v>
      </c>
      <c r="E12">
        <v>6211</v>
      </c>
      <c r="F12" t="s">
        <v>55</v>
      </c>
      <c r="G12" s="1">
        <v>44406</v>
      </c>
      <c r="H12" s="1">
        <v>44406</v>
      </c>
      <c r="I12" t="b">
        <v>0</v>
      </c>
      <c r="J12">
        <v>153.85990000000001</v>
      </c>
      <c r="K12" s="1">
        <v>45936</v>
      </c>
      <c r="L12">
        <v>6.81</v>
      </c>
      <c r="M12" s="1">
        <v>44728</v>
      </c>
      <c r="N12">
        <v>108.65</v>
      </c>
      <c r="O12" s="1">
        <v>46204</v>
      </c>
      <c r="P12">
        <v>1236</v>
      </c>
      <c r="Q12" t="s">
        <v>21</v>
      </c>
      <c r="R12" t="str">
        <f t="shared" si="0"/>
        <v>has made new highs</v>
      </c>
      <c r="S12" s="15">
        <f t="shared" si="1"/>
        <v>21.593230543318651</v>
      </c>
    </row>
    <row r="13" spans="1:19" x14ac:dyDescent="0.35">
      <c r="A13" t="s">
        <v>56</v>
      </c>
      <c r="B13" t="s">
        <v>56</v>
      </c>
      <c r="C13" t="s">
        <v>57</v>
      </c>
      <c r="D13" t="s">
        <v>27</v>
      </c>
      <c r="E13">
        <v>7372</v>
      </c>
      <c r="F13" t="s">
        <v>20</v>
      </c>
      <c r="G13" s="1">
        <v>44090</v>
      </c>
      <c r="H13" s="1">
        <v>44379</v>
      </c>
      <c r="I13" t="b">
        <v>1</v>
      </c>
      <c r="J13">
        <v>405</v>
      </c>
      <c r="K13" s="1">
        <v>44517</v>
      </c>
      <c r="L13">
        <v>107.13</v>
      </c>
      <c r="M13" s="1">
        <v>45541</v>
      </c>
      <c r="N13">
        <v>261.19</v>
      </c>
      <c r="O13" s="1">
        <v>46204</v>
      </c>
      <c r="P13">
        <v>1254</v>
      </c>
      <c r="Q13" t="s">
        <v>21</v>
      </c>
      <c r="R13" t="str">
        <f t="shared" si="0"/>
        <v>has not made new highs</v>
      </c>
      <c r="S13" s="15">
        <f t="shared" si="1"/>
        <v>2.7804536544385328</v>
      </c>
    </row>
    <row r="14" spans="1:19" x14ac:dyDescent="0.35">
      <c r="A14" t="s">
        <v>58</v>
      </c>
      <c r="B14" t="s">
        <v>58</v>
      </c>
      <c r="C14" t="s">
        <v>59</v>
      </c>
      <c r="D14" t="s">
        <v>27</v>
      </c>
      <c r="E14">
        <v>7372</v>
      </c>
      <c r="F14" t="s">
        <v>20</v>
      </c>
      <c r="G14" s="1">
        <v>44265</v>
      </c>
      <c r="H14" s="1">
        <v>44379</v>
      </c>
      <c r="I14" t="b">
        <v>1</v>
      </c>
      <c r="J14">
        <v>150.59</v>
      </c>
      <c r="K14" s="1">
        <v>45869</v>
      </c>
      <c r="L14">
        <v>21.65</v>
      </c>
      <c r="M14" s="1">
        <v>44691</v>
      </c>
      <c r="N14">
        <v>57.95</v>
      </c>
      <c r="O14" s="1">
        <v>46204</v>
      </c>
      <c r="P14">
        <v>1254</v>
      </c>
      <c r="Q14" t="s">
        <v>21</v>
      </c>
      <c r="R14" t="str">
        <f t="shared" si="0"/>
        <v>has made new highs</v>
      </c>
      <c r="S14" s="15">
        <f t="shared" si="1"/>
        <v>5.9556581986143193</v>
      </c>
    </row>
    <row r="15" spans="1:19" x14ac:dyDescent="0.35">
      <c r="A15" t="s">
        <v>60</v>
      </c>
      <c r="B15" t="s">
        <v>60</v>
      </c>
      <c r="C15" t="s">
        <v>61</v>
      </c>
      <c r="D15" t="s">
        <v>45</v>
      </c>
      <c r="G15" s="1">
        <v>44539</v>
      </c>
      <c r="H15" s="1">
        <v>44539</v>
      </c>
      <c r="I15" t="b">
        <v>0</v>
      </c>
      <c r="J15">
        <v>18.98</v>
      </c>
      <c r="K15" s="1">
        <v>46051</v>
      </c>
      <c r="L15">
        <v>3.26</v>
      </c>
      <c r="M15" s="1">
        <v>44706</v>
      </c>
      <c r="N15">
        <v>13.39</v>
      </c>
      <c r="O15" s="1">
        <v>46204</v>
      </c>
      <c r="P15">
        <v>1143</v>
      </c>
      <c r="Q15" t="s">
        <v>21</v>
      </c>
      <c r="R15" t="str">
        <f t="shared" si="0"/>
        <v>has made new highs</v>
      </c>
      <c r="S15" s="15">
        <f t="shared" si="1"/>
        <v>4.8220858895705527</v>
      </c>
    </row>
    <row r="16" spans="1:19" x14ac:dyDescent="0.35">
      <c r="A16" t="s">
        <v>62</v>
      </c>
      <c r="B16" t="s">
        <v>62</v>
      </c>
      <c r="C16" t="s">
        <v>63</v>
      </c>
      <c r="D16" t="s">
        <v>64</v>
      </c>
      <c r="E16">
        <v>5961</v>
      </c>
      <c r="F16" t="s">
        <v>65</v>
      </c>
      <c r="G16" s="1">
        <v>44266</v>
      </c>
      <c r="H16" s="1">
        <v>44379</v>
      </c>
      <c r="I16" t="b">
        <v>1</v>
      </c>
      <c r="J16">
        <v>46</v>
      </c>
      <c r="K16" s="1">
        <v>44390</v>
      </c>
      <c r="L16">
        <v>8.98</v>
      </c>
      <c r="M16" s="1">
        <v>44692</v>
      </c>
      <c r="N16">
        <v>18.13</v>
      </c>
      <c r="O16" s="1">
        <v>46204</v>
      </c>
      <c r="P16">
        <v>1254</v>
      </c>
      <c r="Q16" t="s">
        <v>21</v>
      </c>
      <c r="R16" t="str">
        <f t="shared" si="0"/>
        <v>has not made new highs</v>
      </c>
      <c r="S16" s="15">
        <f t="shared" si="1"/>
        <v>4.1224944320712691</v>
      </c>
    </row>
    <row r="17" spans="1:19" x14ac:dyDescent="0.35">
      <c r="A17" t="s">
        <v>66</v>
      </c>
      <c r="B17" t="s">
        <v>66</v>
      </c>
      <c r="C17" t="s">
        <v>67</v>
      </c>
      <c r="D17" t="s">
        <v>68</v>
      </c>
      <c r="G17" s="1">
        <v>44760</v>
      </c>
      <c r="H17" s="1">
        <v>44764</v>
      </c>
      <c r="I17" t="b">
        <v>1</v>
      </c>
      <c r="J17">
        <v>11.42</v>
      </c>
      <c r="K17" s="1">
        <v>45810</v>
      </c>
      <c r="L17">
        <v>5.59</v>
      </c>
      <c r="M17" s="1">
        <v>44806</v>
      </c>
      <c r="N17">
        <v>9.4</v>
      </c>
      <c r="O17" s="1">
        <v>46204</v>
      </c>
      <c r="P17">
        <v>989</v>
      </c>
      <c r="Q17" t="s">
        <v>21</v>
      </c>
      <c r="R17" t="str">
        <f t="shared" si="0"/>
        <v>has made new highs</v>
      </c>
      <c r="S17" s="15">
        <f t="shared" si="1"/>
        <v>1.0429338103756709</v>
      </c>
    </row>
    <row r="18" spans="1:19" x14ac:dyDescent="0.35">
      <c r="A18" t="s">
        <v>69</v>
      </c>
      <c r="B18" t="s">
        <v>69</v>
      </c>
      <c r="C18" t="s">
        <v>70</v>
      </c>
      <c r="D18" t="s">
        <v>64</v>
      </c>
      <c r="E18">
        <v>2844</v>
      </c>
      <c r="F18" t="s">
        <v>71</v>
      </c>
      <c r="G18" s="1">
        <v>45050</v>
      </c>
      <c r="H18" s="1">
        <v>45050</v>
      </c>
      <c r="I18" t="b">
        <v>0</v>
      </c>
      <c r="J18">
        <v>27.795000000000002</v>
      </c>
      <c r="K18" s="1">
        <v>45061</v>
      </c>
      <c r="L18">
        <v>14.02</v>
      </c>
      <c r="M18" s="1">
        <v>45960</v>
      </c>
      <c r="N18">
        <v>19.329999999999998</v>
      </c>
      <c r="O18" s="1">
        <v>46204</v>
      </c>
      <c r="P18">
        <v>792</v>
      </c>
      <c r="Q18" t="s">
        <v>21</v>
      </c>
      <c r="R18" t="str">
        <f t="shared" si="0"/>
        <v>has not made new highs</v>
      </c>
      <c r="S18" s="15">
        <f t="shared" si="1"/>
        <v>0.98252496433666214</v>
      </c>
    </row>
    <row r="19" spans="1:19" x14ac:dyDescent="0.35">
      <c r="A19" t="s">
        <v>72</v>
      </c>
      <c r="B19" t="s">
        <v>72</v>
      </c>
      <c r="C19" t="s">
        <v>73</v>
      </c>
      <c r="D19" t="s">
        <v>30</v>
      </c>
      <c r="G19" s="1">
        <v>38308</v>
      </c>
      <c r="H19" s="1">
        <v>45421</v>
      </c>
      <c r="I19" t="b">
        <v>1</v>
      </c>
      <c r="J19">
        <v>74.0749</v>
      </c>
      <c r="K19" s="1">
        <v>46065</v>
      </c>
      <c r="L19">
        <v>36.6462</v>
      </c>
      <c r="M19" s="1">
        <v>45422</v>
      </c>
      <c r="N19">
        <v>67.260000000000005</v>
      </c>
      <c r="O19" s="1">
        <v>46204</v>
      </c>
      <c r="P19">
        <v>537</v>
      </c>
      <c r="Q19" t="s">
        <v>21</v>
      </c>
      <c r="R19" t="str">
        <f t="shared" si="0"/>
        <v>has made new highs</v>
      </c>
      <c r="S19" s="15">
        <f t="shared" si="1"/>
        <v>1.0213528278511823</v>
      </c>
    </row>
    <row r="20" spans="1:19" x14ac:dyDescent="0.35">
      <c r="A20" t="s">
        <v>74</v>
      </c>
      <c r="B20" t="s">
        <v>74</v>
      </c>
      <c r="C20" t="s">
        <v>75</v>
      </c>
      <c r="D20" t="s">
        <v>68</v>
      </c>
      <c r="E20">
        <v>3844</v>
      </c>
      <c r="F20" t="s">
        <v>76</v>
      </c>
      <c r="G20" s="1">
        <v>44910</v>
      </c>
      <c r="H20" s="1">
        <v>44930</v>
      </c>
      <c r="I20" t="b">
        <v>1</v>
      </c>
      <c r="J20">
        <v>94.8</v>
      </c>
      <c r="K20" s="1">
        <v>45701</v>
      </c>
      <c r="L20">
        <v>53.5</v>
      </c>
      <c r="M20" s="1">
        <v>44930</v>
      </c>
      <c r="N20">
        <v>64.86</v>
      </c>
      <c r="O20" s="1">
        <v>46204</v>
      </c>
      <c r="P20">
        <v>875</v>
      </c>
      <c r="Q20" t="s">
        <v>21</v>
      </c>
      <c r="R20" t="str">
        <f t="shared" si="0"/>
        <v>has made new highs</v>
      </c>
      <c r="S20" s="15">
        <f t="shared" si="1"/>
        <v>0.77196261682242984</v>
      </c>
    </row>
    <row r="21" spans="1:19" x14ac:dyDescent="0.35">
      <c r="A21" t="s">
        <v>77</v>
      </c>
      <c r="B21" t="s">
        <v>77</v>
      </c>
      <c r="C21" t="s">
        <v>78</v>
      </c>
      <c r="D21" t="s">
        <v>45</v>
      </c>
      <c r="E21">
        <v>6282</v>
      </c>
      <c r="F21" t="s">
        <v>49</v>
      </c>
      <c r="G21" s="1">
        <v>44336</v>
      </c>
      <c r="H21" s="1">
        <v>44379</v>
      </c>
      <c r="I21" t="b">
        <v>1</v>
      </c>
      <c r="J21">
        <v>26.725000000000001</v>
      </c>
      <c r="K21" s="1">
        <v>45681</v>
      </c>
      <c r="L21">
        <v>7.95</v>
      </c>
      <c r="M21" s="1">
        <v>46114</v>
      </c>
      <c r="N21">
        <v>8.64</v>
      </c>
      <c r="O21" s="1">
        <v>46204</v>
      </c>
      <c r="P21">
        <v>1254</v>
      </c>
      <c r="Q21" t="s">
        <v>21</v>
      </c>
      <c r="R21" t="str">
        <f t="shared" si="0"/>
        <v>has not made new highs</v>
      </c>
      <c r="S21" s="15">
        <f t="shared" si="1"/>
        <v>2.3616352201257862</v>
      </c>
    </row>
    <row r="22" spans="1:19" x14ac:dyDescent="0.35">
      <c r="A22" t="s">
        <v>79</v>
      </c>
      <c r="B22" t="s">
        <v>79</v>
      </c>
      <c r="C22" t="s">
        <v>80</v>
      </c>
      <c r="D22" t="s">
        <v>45</v>
      </c>
      <c r="E22">
        <v>6162</v>
      </c>
      <c r="F22" t="s">
        <v>81</v>
      </c>
      <c r="G22" s="1">
        <v>44049</v>
      </c>
      <c r="H22" s="1">
        <v>44379</v>
      </c>
      <c r="I22" t="b">
        <v>1</v>
      </c>
      <c r="J22">
        <v>24.36</v>
      </c>
      <c r="K22" s="1">
        <v>46038</v>
      </c>
      <c r="L22">
        <v>5.97</v>
      </c>
      <c r="M22" s="1">
        <v>44855</v>
      </c>
      <c r="N22">
        <v>15.85</v>
      </c>
      <c r="O22" s="1">
        <v>46204</v>
      </c>
      <c r="P22">
        <v>1254</v>
      </c>
      <c r="Q22" t="s">
        <v>21</v>
      </c>
      <c r="R22" t="str">
        <f t="shared" si="0"/>
        <v>has made new highs</v>
      </c>
      <c r="S22" s="15">
        <f t="shared" si="1"/>
        <v>3.0804020100502516</v>
      </c>
    </row>
    <row r="23" spans="1:19" x14ac:dyDescent="0.35">
      <c r="A23" t="s">
        <v>82</v>
      </c>
      <c r="B23" t="s">
        <v>82</v>
      </c>
      <c r="C23" t="s">
        <v>83</v>
      </c>
      <c r="D23" t="s">
        <v>84</v>
      </c>
      <c r="G23" s="1">
        <v>44042</v>
      </c>
      <c r="H23" s="1">
        <v>44379</v>
      </c>
      <c r="I23" t="b">
        <v>1</v>
      </c>
      <c r="J23">
        <v>47.33</v>
      </c>
      <c r="K23" s="1">
        <v>45145</v>
      </c>
      <c r="L23">
        <v>11.65</v>
      </c>
      <c r="M23" s="1">
        <v>46203</v>
      </c>
      <c r="N23">
        <v>12.23</v>
      </c>
      <c r="O23" s="1">
        <v>46204</v>
      </c>
      <c r="P23">
        <v>1254</v>
      </c>
      <c r="Q23" t="s">
        <v>21</v>
      </c>
      <c r="R23" t="str">
        <f t="shared" si="0"/>
        <v>has not made new highs</v>
      </c>
      <c r="S23" s="15">
        <f t="shared" si="1"/>
        <v>3.0626609442060087</v>
      </c>
    </row>
    <row r="24" spans="1:19" x14ac:dyDescent="0.35">
      <c r="A24" t="s">
        <v>85</v>
      </c>
      <c r="B24" t="s">
        <v>85</v>
      </c>
      <c r="C24" t="s">
        <v>86</v>
      </c>
      <c r="D24" t="s">
        <v>24</v>
      </c>
      <c r="E24">
        <v>1311</v>
      </c>
      <c r="F24" t="s">
        <v>87</v>
      </c>
      <c r="G24" s="1">
        <v>44237</v>
      </c>
      <c r="H24" s="1">
        <v>45567</v>
      </c>
      <c r="I24" t="b">
        <v>1</v>
      </c>
      <c r="J24">
        <v>126.62050000000001</v>
      </c>
      <c r="K24" s="1">
        <v>45996</v>
      </c>
      <c r="L24">
        <v>81.66</v>
      </c>
      <c r="M24" s="1">
        <v>45567</v>
      </c>
      <c r="N24">
        <v>89.57</v>
      </c>
      <c r="O24" s="1">
        <v>46204</v>
      </c>
      <c r="P24">
        <v>437</v>
      </c>
      <c r="Q24" t="s">
        <v>21</v>
      </c>
      <c r="R24" t="str">
        <f t="shared" si="0"/>
        <v>has made new highs</v>
      </c>
      <c r="S24" s="15">
        <f t="shared" si="1"/>
        <v>0.55058168013715425</v>
      </c>
    </row>
    <row r="25" spans="1:19" x14ac:dyDescent="0.35">
      <c r="A25" t="s">
        <v>88</v>
      </c>
      <c r="B25" t="s">
        <v>88</v>
      </c>
      <c r="C25" t="s">
        <v>89</v>
      </c>
      <c r="D25" t="s">
        <v>27</v>
      </c>
      <c r="E25">
        <v>7374</v>
      </c>
      <c r="F25" t="s">
        <v>90</v>
      </c>
      <c r="G25" s="1">
        <v>45372</v>
      </c>
      <c r="H25" s="1">
        <v>45372</v>
      </c>
      <c r="I25" t="b">
        <v>0</v>
      </c>
      <c r="J25">
        <v>282.95</v>
      </c>
      <c r="K25" s="1">
        <v>45918</v>
      </c>
      <c r="L25">
        <v>37.35</v>
      </c>
      <c r="M25" s="1">
        <v>45400</v>
      </c>
      <c r="N25">
        <v>197.76</v>
      </c>
      <c r="O25" s="1">
        <v>46204</v>
      </c>
      <c r="P25">
        <v>571</v>
      </c>
      <c r="Q25" t="s">
        <v>21</v>
      </c>
      <c r="R25" t="str">
        <f t="shared" si="0"/>
        <v>has made new highs</v>
      </c>
      <c r="S25" s="15">
        <f t="shared" si="1"/>
        <v>6.5756358768406953</v>
      </c>
    </row>
    <row r="26" spans="1:19" x14ac:dyDescent="0.35">
      <c r="A26" t="s">
        <v>91</v>
      </c>
      <c r="B26" t="s">
        <v>91</v>
      </c>
      <c r="C26" t="s">
        <v>92</v>
      </c>
      <c r="D26" t="s">
        <v>84</v>
      </c>
      <c r="E26">
        <v>7374</v>
      </c>
      <c r="F26" t="s">
        <v>90</v>
      </c>
      <c r="G26" s="1">
        <v>44461</v>
      </c>
      <c r="H26" s="1">
        <v>44461</v>
      </c>
      <c r="I26" t="b">
        <v>0</v>
      </c>
      <c r="J26">
        <v>69.930000000000007</v>
      </c>
      <c r="K26" s="1">
        <v>44503</v>
      </c>
      <c r="L26">
        <v>11.91</v>
      </c>
      <c r="M26" s="1">
        <v>44693</v>
      </c>
      <c r="N26">
        <v>28.71</v>
      </c>
      <c r="O26" s="1">
        <v>46204</v>
      </c>
      <c r="P26">
        <v>1198</v>
      </c>
      <c r="Q26" t="s">
        <v>21</v>
      </c>
      <c r="R26" t="str">
        <f t="shared" si="0"/>
        <v>has not made new highs</v>
      </c>
      <c r="S26" s="15">
        <f t="shared" si="1"/>
        <v>4.8715365239294721</v>
      </c>
    </row>
    <row r="27" spans="1:19" x14ac:dyDescent="0.35">
      <c r="A27" t="s">
        <v>93</v>
      </c>
      <c r="B27" t="s">
        <v>93</v>
      </c>
      <c r="C27" t="s">
        <v>94</v>
      </c>
      <c r="D27" t="s">
        <v>30</v>
      </c>
      <c r="E27">
        <v>3825</v>
      </c>
      <c r="F27" t="s">
        <v>95</v>
      </c>
      <c r="G27" s="1">
        <v>45196</v>
      </c>
      <c r="H27" s="1">
        <v>45201</v>
      </c>
      <c r="I27" t="b">
        <v>1</v>
      </c>
      <c r="J27">
        <v>115</v>
      </c>
      <c r="K27" s="1">
        <v>45589</v>
      </c>
      <c r="L27">
        <v>65.510000000000005</v>
      </c>
      <c r="M27" s="1">
        <v>45225</v>
      </c>
      <c r="N27">
        <v>90.34</v>
      </c>
      <c r="O27" s="1">
        <v>46204</v>
      </c>
      <c r="P27">
        <v>689</v>
      </c>
      <c r="Q27" t="s">
        <v>21</v>
      </c>
      <c r="R27" t="str">
        <f t="shared" si="0"/>
        <v>has made new highs</v>
      </c>
      <c r="S27" s="15">
        <f t="shared" si="1"/>
        <v>0.75545718210960144</v>
      </c>
    </row>
    <row r="28" spans="1:19" x14ac:dyDescent="0.35">
      <c r="A28" t="s">
        <v>96</v>
      </c>
      <c r="B28" t="s">
        <v>96</v>
      </c>
      <c r="C28" t="s">
        <v>97</v>
      </c>
      <c r="D28" t="s">
        <v>37</v>
      </c>
      <c r="G28" s="1">
        <v>45413</v>
      </c>
      <c r="H28" s="1">
        <v>45413</v>
      </c>
      <c r="I28" t="b">
        <v>0</v>
      </c>
      <c r="J28">
        <v>105.7599</v>
      </c>
      <c r="K28" s="1">
        <v>46202</v>
      </c>
      <c r="L28">
        <v>25.71</v>
      </c>
      <c r="M28" s="1">
        <v>45413</v>
      </c>
      <c r="N28">
        <v>102</v>
      </c>
      <c r="O28" s="1">
        <v>46204</v>
      </c>
      <c r="P28">
        <v>543</v>
      </c>
      <c r="Q28" t="s">
        <v>21</v>
      </c>
      <c r="R28" t="str">
        <f t="shared" si="0"/>
        <v>has made new highs</v>
      </c>
      <c r="S28" s="15">
        <f t="shared" si="1"/>
        <v>3.1135705950991834</v>
      </c>
    </row>
    <row r="29" spans="1:19" x14ac:dyDescent="0.35">
      <c r="A29" t="s">
        <v>98</v>
      </c>
      <c r="B29" t="s">
        <v>98</v>
      </c>
      <c r="C29" t="s">
        <v>99</v>
      </c>
      <c r="D29" t="s">
        <v>45</v>
      </c>
      <c r="G29" s="1">
        <v>44056</v>
      </c>
      <c r="H29" s="1">
        <v>44379</v>
      </c>
      <c r="I29" t="b">
        <v>1</v>
      </c>
      <c r="J29">
        <v>47.33</v>
      </c>
      <c r="K29" s="1">
        <v>44379</v>
      </c>
      <c r="L29">
        <v>7.31</v>
      </c>
      <c r="M29" s="1">
        <v>44634</v>
      </c>
      <c r="N29">
        <v>15.05</v>
      </c>
      <c r="O29" s="1">
        <v>46204</v>
      </c>
      <c r="P29">
        <v>1254</v>
      </c>
      <c r="Q29" t="s">
        <v>21</v>
      </c>
      <c r="R29" t="str">
        <f t="shared" si="0"/>
        <v>has not made new highs</v>
      </c>
      <c r="S29" s="15">
        <f t="shared" si="1"/>
        <v>5.4746922024623803</v>
      </c>
    </row>
    <row r="30" spans="1:19" x14ac:dyDescent="0.35">
      <c r="A30" t="s">
        <v>100</v>
      </c>
      <c r="B30" t="s">
        <v>100</v>
      </c>
      <c r="C30" t="s">
        <v>101</v>
      </c>
      <c r="D30" t="s">
        <v>27</v>
      </c>
      <c r="E30">
        <v>7373</v>
      </c>
      <c r="F30" t="s">
        <v>102</v>
      </c>
      <c r="G30" s="1">
        <v>44545</v>
      </c>
      <c r="H30" s="1">
        <v>44545</v>
      </c>
      <c r="I30" t="b">
        <v>0</v>
      </c>
      <c r="J30">
        <v>61.899900000000002</v>
      </c>
      <c r="K30" s="1">
        <v>45707</v>
      </c>
      <c r="L30">
        <v>8.42</v>
      </c>
      <c r="M30" s="1">
        <v>44874</v>
      </c>
      <c r="N30">
        <v>34.18</v>
      </c>
      <c r="O30" s="1">
        <v>46204</v>
      </c>
      <c r="P30">
        <v>1139</v>
      </c>
      <c r="Q30" t="s">
        <v>21</v>
      </c>
      <c r="R30" t="str">
        <f t="shared" si="0"/>
        <v>has made new highs</v>
      </c>
      <c r="S30" s="15">
        <f t="shared" si="1"/>
        <v>6.3515320665083133</v>
      </c>
    </row>
    <row r="31" spans="1:19" x14ac:dyDescent="0.35">
      <c r="A31" t="s">
        <v>103</v>
      </c>
      <c r="B31" t="s">
        <v>103</v>
      </c>
      <c r="C31" t="s">
        <v>104</v>
      </c>
      <c r="D31" t="s">
        <v>105</v>
      </c>
      <c r="G31" s="1">
        <v>31987</v>
      </c>
      <c r="H31" s="1">
        <v>44379</v>
      </c>
      <c r="I31" t="b">
        <v>1</v>
      </c>
      <c r="J31">
        <v>129.13999999999999</v>
      </c>
      <c r="K31" s="1">
        <v>46083</v>
      </c>
      <c r="L31">
        <v>11.94</v>
      </c>
      <c r="M31" s="1">
        <v>44827</v>
      </c>
      <c r="N31">
        <v>80.89</v>
      </c>
      <c r="O31" s="1">
        <v>46204</v>
      </c>
      <c r="P31">
        <v>1254</v>
      </c>
      <c r="Q31" t="s">
        <v>21</v>
      </c>
      <c r="R31" t="str">
        <f t="shared" si="0"/>
        <v>has made new highs</v>
      </c>
      <c r="S31" s="15">
        <f t="shared" si="1"/>
        <v>9.81574539363484</v>
      </c>
    </row>
    <row r="32" spans="1:19" x14ac:dyDescent="0.35">
      <c r="A32" t="s">
        <v>106</v>
      </c>
      <c r="B32" t="s">
        <v>106</v>
      </c>
      <c r="C32" t="s">
        <v>107</v>
      </c>
      <c r="D32" t="s">
        <v>30</v>
      </c>
      <c r="E32">
        <v>3569</v>
      </c>
      <c r="F32" t="s">
        <v>108</v>
      </c>
      <c r="G32" s="1">
        <v>44720</v>
      </c>
      <c r="H32" s="1">
        <v>44720</v>
      </c>
      <c r="I32" t="b">
        <v>0</v>
      </c>
      <c r="J32">
        <v>87.88</v>
      </c>
      <c r="K32" s="1">
        <v>45987</v>
      </c>
      <c r="L32">
        <v>8.75</v>
      </c>
      <c r="M32" s="1">
        <v>44882</v>
      </c>
      <c r="N32">
        <v>44.96</v>
      </c>
      <c r="O32" s="1">
        <v>46204</v>
      </c>
      <c r="P32">
        <v>1019</v>
      </c>
      <c r="Q32" t="s">
        <v>21</v>
      </c>
      <c r="R32" t="str">
        <f t="shared" si="0"/>
        <v>has made new highs</v>
      </c>
      <c r="S32" s="15">
        <f t="shared" si="1"/>
        <v>9.0434285714285707</v>
      </c>
    </row>
    <row r="33" spans="1:19" x14ac:dyDescent="0.35">
      <c r="A33" t="s">
        <v>109</v>
      </c>
      <c r="B33" t="s">
        <v>109</v>
      </c>
      <c r="C33" t="s">
        <v>110</v>
      </c>
      <c r="D33" t="s">
        <v>84</v>
      </c>
      <c r="G33" s="1">
        <v>45323</v>
      </c>
      <c r="H33" s="1">
        <v>45323</v>
      </c>
      <c r="I33" t="b">
        <v>0</v>
      </c>
      <c r="J33">
        <v>42.76</v>
      </c>
      <c r="K33" s="1">
        <v>46073</v>
      </c>
      <c r="L33">
        <v>10.11</v>
      </c>
      <c r="M33" s="1">
        <v>45509</v>
      </c>
      <c r="N33">
        <v>34.11</v>
      </c>
      <c r="O33" s="1">
        <v>46204</v>
      </c>
      <c r="P33">
        <v>605</v>
      </c>
      <c r="Q33" t="s">
        <v>21</v>
      </c>
      <c r="R33" t="str">
        <f t="shared" si="0"/>
        <v>has made new highs</v>
      </c>
      <c r="S33" s="15">
        <f t="shared" si="1"/>
        <v>3.2294757665677549</v>
      </c>
    </row>
    <row r="34" spans="1:19" x14ac:dyDescent="0.35">
      <c r="A34" t="s">
        <v>111</v>
      </c>
      <c r="B34" t="s">
        <v>111</v>
      </c>
      <c r="C34" t="s">
        <v>112</v>
      </c>
      <c r="D34" t="s">
        <v>27</v>
      </c>
      <c r="G34" s="1">
        <v>44497</v>
      </c>
      <c r="H34" s="1">
        <v>44497</v>
      </c>
      <c r="I34" t="b">
        <v>0</v>
      </c>
      <c r="J34">
        <v>92.55</v>
      </c>
      <c r="K34" s="1">
        <v>46168</v>
      </c>
      <c r="L34">
        <v>29.77</v>
      </c>
      <c r="M34" s="1">
        <v>45755</v>
      </c>
      <c r="N34">
        <v>77.23</v>
      </c>
      <c r="O34" s="1">
        <v>46204</v>
      </c>
      <c r="P34">
        <v>1172</v>
      </c>
      <c r="Q34" t="s">
        <v>21</v>
      </c>
      <c r="R34" t="str">
        <f t="shared" si="0"/>
        <v>has made new highs</v>
      </c>
      <c r="S34" s="15">
        <f t="shared" si="1"/>
        <v>2.1088343970440042</v>
      </c>
    </row>
    <row r="35" spans="1:19" x14ac:dyDescent="0.35">
      <c r="A35" t="s">
        <v>113</v>
      </c>
      <c r="B35" t="s">
        <v>113</v>
      </c>
      <c r="C35" t="s">
        <v>114</v>
      </c>
      <c r="D35" t="s">
        <v>45</v>
      </c>
      <c r="E35">
        <v>6141</v>
      </c>
      <c r="F35" t="s">
        <v>115</v>
      </c>
      <c r="G35" s="1">
        <v>44209</v>
      </c>
      <c r="H35" s="1">
        <v>44379</v>
      </c>
      <c r="I35" t="b">
        <v>1</v>
      </c>
      <c r="J35">
        <v>176.65</v>
      </c>
      <c r="K35" s="1">
        <v>44508</v>
      </c>
      <c r="L35">
        <v>8.6199999999999992</v>
      </c>
      <c r="M35" s="1">
        <v>44917</v>
      </c>
      <c r="N35">
        <v>83.85</v>
      </c>
      <c r="O35" s="1">
        <v>46204</v>
      </c>
      <c r="P35">
        <v>1254</v>
      </c>
      <c r="Q35" t="s">
        <v>21</v>
      </c>
      <c r="R35" t="str">
        <f t="shared" si="0"/>
        <v>has not made new highs</v>
      </c>
      <c r="S35" s="15">
        <f t="shared" si="1"/>
        <v>19.493039443155453</v>
      </c>
    </row>
    <row r="36" spans="1:19" x14ac:dyDescent="0.35">
      <c r="A36" t="s">
        <v>116</v>
      </c>
      <c r="B36" t="s">
        <v>116</v>
      </c>
      <c r="C36" t="s">
        <v>117</v>
      </c>
      <c r="D36" t="s">
        <v>45</v>
      </c>
      <c r="E36">
        <v>6282</v>
      </c>
      <c r="F36" t="s">
        <v>49</v>
      </c>
      <c r="G36" s="1">
        <v>44574</v>
      </c>
      <c r="H36" s="1">
        <v>44574</v>
      </c>
      <c r="I36" t="b">
        <v>0</v>
      </c>
      <c r="J36">
        <v>72.98</v>
      </c>
      <c r="K36" s="1">
        <v>45621</v>
      </c>
      <c r="L36">
        <v>23.09</v>
      </c>
      <c r="M36" s="1">
        <v>44742</v>
      </c>
      <c r="N36">
        <v>40.5</v>
      </c>
      <c r="O36" s="1">
        <v>46204</v>
      </c>
      <c r="P36">
        <v>1119</v>
      </c>
      <c r="Q36" t="s">
        <v>21</v>
      </c>
      <c r="R36" t="str">
        <f t="shared" si="0"/>
        <v>has made new highs</v>
      </c>
      <c r="S36" s="15">
        <f t="shared" si="1"/>
        <v>2.1606756171502814</v>
      </c>
    </row>
    <row r="37" spans="1:19" x14ac:dyDescent="0.35">
      <c r="A37" t="s">
        <v>118</v>
      </c>
      <c r="B37" t="s">
        <v>118</v>
      </c>
      <c r="C37" t="s">
        <v>119</v>
      </c>
      <c r="D37" t="s">
        <v>45</v>
      </c>
      <c r="E37">
        <v>6311</v>
      </c>
      <c r="F37" t="s">
        <v>120</v>
      </c>
      <c r="G37" s="1">
        <v>44819</v>
      </c>
      <c r="H37" s="1">
        <v>44819</v>
      </c>
      <c r="I37" t="b">
        <v>0</v>
      </c>
      <c r="J37">
        <v>36.57</v>
      </c>
      <c r="K37" s="1">
        <v>45874</v>
      </c>
      <c r="L37">
        <v>14.01</v>
      </c>
      <c r="M37" s="1">
        <v>45009</v>
      </c>
      <c r="N37">
        <v>28.74</v>
      </c>
      <c r="O37" s="1">
        <v>46204</v>
      </c>
      <c r="P37">
        <v>951</v>
      </c>
      <c r="Q37" t="s">
        <v>21</v>
      </c>
      <c r="R37" t="str">
        <f t="shared" si="0"/>
        <v>has made new highs</v>
      </c>
      <c r="S37" s="15">
        <f t="shared" si="1"/>
        <v>1.6102783725910066</v>
      </c>
    </row>
    <row r="38" spans="1:19" x14ac:dyDescent="0.35">
      <c r="A38" t="s">
        <v>121</v>
      </c>
      <c r="B38" t="s">
        <v>121</v>
      </c>
      <c r="C38" t="s">
        <v>122</v>
      </c>
      <c r="D38" t="s">
        <v>45</v>
      </c>
      <c r="E38">
        <v>6199</v>
      </c>
      <c r="F38" t="s">
        <v>46</v>
      </c>
      <c r="G38" s="1">
        <v>44348</v>
      </c>
      <c r="H38" s="1">
        <v>44379</v>
      </c>
      <c r="I38" t="b">
        <v>1</v>
      </c>
      <c r="J38">
        <v>32.729999999999997</v>
      </c>
      <c r="K38" s="1">
        <v>45973</v>
      </c>
      <c r="L38">
        <v>4.24</v>
      </c>
      <c r="M38" s="1">
        <v>44902</v>
      </c>
      <c r="N38">
        <v>18.440000000000001</v>
      </c>
      <c r="O38" s="1">
        <v>46204</v>
      </c>
      <c r="P38">
        <v>1254</v>
      </c>
      <c r="Q38" t="s">
        <v>21</v>
      </c>
      <c r="R38" t="str">
        <f t="shared" si="0"/>
        <v>has made new highs</v>
      </c>
      <c r="S38" s="15">
        <f t="shared" si="1"/>
        <v>6.7193396226415079</v>
      </c>
    </row>
    <row r="39" spans="1:19" x14ac:dyDescent="0.35">
      <c r="A39" t="s">
        <v>123</v>
      </c>
      <c r="B39" t="s">
        <v>123</v>
      </c>
      <c r="C39" t="s">
        <v>124</v>
      </c>
      <c r="D39" t="s">
        <v>27</v>
      </c>
      <c r="E39">
        <v>7372</v>
      </c>
      <c r="F39" t="s">
        <v>20</v>
      </c>
      <c r="G39" s="1">
        <v>44405</v>
      </c>
      <c r="H39" s="1">
        <v>44405</v>
      </c>
      <c r="I39" t="b">
        <v>0</v>
      </c>
      <c r="J39">
        <v>544.92999999999995</v>
      </c>
      <c r="K39" s="1">
        <v>45791</v>
      </c>
      <c r="L39">
        <v>60.500300000000003</v>
      </c>
      <c r="M39" s="1">
        <v>44692</v>
      </c>
      <c r="N39">
        <v>121.215</v>
      </c>
      <c r="O39" s="1">
        <v>46204</v>
      </c>
      <c r="P39">
        <v>1237</v>
      </c>
      <c r="Q39" t="s">
        <v>21</v>
      </c>
      <c r="R39" t="str">
        <f t="shared" si="0"/>
        <v>has made new highs</v>
      </c>
      <c r="S39" s="15">
        <f t="shared" si="1"/>
        <v>8.0070627748953296</v>
      </c>
    </row>
    <row r="40" spans="1:19" x14ac:dyDescent="0.35">
      <c r="A40" t="s">
        <v>125</v>
      </c>
      <c r="B40" t="s">
        <v>125</v>
      </c>
      <c r="C40" t="s">
        <v>126</v>
      </c>
      <c r="D40" t="s">
        <v>127</v>
      </c>
      <c r="G40" s="1">
        <v>36115</v>
      </c>
      <c r="H40" s="1">
        <v>44379</v>
      </c>
      <c r="I40" t="b">
        <v>1</v>
      </c>
      <c r="J40">
        <v>17.254999999999999</v>
      </c>
      <c r="K40" s="1">
        <v>46122</v>
      </c>
      <c r="L40">
        <v>6.49</v>
      </c>
      <c r="M40" s="1">
        <v>44929</v>
      </c>
      <c r="N40">
        <v>12.99</v>
      </c>
      <c r="O40" s="1">
        <v>46204</v>
      </c>
      <c r="P40">
        <v>1254</v>
      </c>
      <c r="Q40" t="s">
        <v>21</v>
      </c>
      <c r="R40" t="str">
        <f t="shared" si="0"/>
        <v>has made new highs</v>
      </c>
      <c r="S40" s="15">
        <f t="shared" si="1"/>
        <v>1.6587057010785822</v>
      </c>
    </row>
    <row r="41" spans="1:19" x14ac:dyDescent="0.35">
      <c r="A41" t="s">
        <v>128</v>
      </c>
      <c r="B41" t="s">
        <v>128</v>
      </c>
      <c r="C41" t="s">
        <v>129</v>
      </c>
      <c r="D41" t="s">
        <v>19</v>
      </c>
      <c r="E41">
        <v>6411</v>
      </c>
      <c r="F41" t="s">
        <v>130</v>
      </c>
      <c r="G41" s="1">
        <v>44399</v>
      </c>
      <c r="H41" s="1">
        <v>44399</v>
      </c>
      <c r="I41" t="b">
        <v>0</v>
      </c>
      <c r="J41">
        <v>77.16</v>
      </c>
      <c r="K41" s="1">
        <v>45750</v>
      </c>
      <c r="L41">
        <v>25.57</v>
      </c>
      <c r="M41" s="1">
        <v>44399</v>
      </c>
      <c r="N41">
        <v>40.03</v>
      </c>
      <c r="O41" s="1">
        <v>46204</v>
      </c>
      <c r="P41">
        <v>1241</v>
      </c>
      <c r="Q41" t="s">
        <v>21</v>
      </c>
      <c r="R41" t="str">
        <f t="shared" si="0"/>
        <v>has made new highs</v>
      </c>
      <c r="S41" s="15">
        <f t="shared" si="1"/>
        <v>2.0175987485334375</v>
      </c>
    </row>
    <row r="42" spans="1:19" x14ac:dyDescent="0.35">
      <c r="A42" t="s">
        <v>131</v>
      </c>
      <c r="B42" t="s">
        <v>131</v>
      </c>
      <c r="C42" t="s">
        <v>132</v>
      </c>
      <c r="D42" t="s">
        <v>84</v>
      </c>
      <c r="G42" s="1">
        <v>44070</v>
      </c>
      <c r="H42" s="1">
        <v>44379</v>
      </c>
      <c r="I42" t="b">
        <v>1</v>
      </c>
      <c r="J42">
        <v>56.45</v>
      </c>
      <c r="K42" s="1">
        <v>44531</v>
      </c>
      <c r="L42">
        <v>6.18</v>
      </c>
      <c r="M42" s="1">
        <v>44867</v>
      </c>
      <c r="N42">
        <v>13.6</v>
      </c>
      <c r="O42" s="1">
        <v>46204</v>
      </c>
      <c r="P42">
        <v>1254</v>
      </c>
      <c r="Q42" t="s">
        <v>21</v>
      </c>
      <c r="R42" t="str">
        <f t="shared" si="0"/>
        <v>has not made new highs</v>
      </c>
      <c r="S42" s="15">
        <f t="shared" si="1"/>
        <v>8.134304207119742</v>
      </c>
    </row>
    <row r="43" spans="1:19" x14ac:dyDescent="0.35">
      <c r="A43" t="s">
        <v>133</v>
      </c>
      <c r="B43" t="s">
        <v>133</v>
      </c>
      <c r="C43" t="s">
        <v>134</v>
      </c>
      <c r="D43" t="s">
        <v>45</v>
      </c>
      <c r="G43" s="1">
        <v>43543</v>
      </c>
      <c r="H43" s="1">
        <v>45310</v>
      </c>
      <c r="I43" t="b">
        <v>1</v>
      </c>
      <c r="J43">
        <v>143.72</v>
      </c>
      <c r="K43" s="1">
        <v>45491</v>
      </c>
      <c r="L43">
        <v>68.59</v>
      </c>
      <c r="M43" s="1">
        <v>46094</v>
      </c>
      <c r="N43">
        <v>88.34</v>
      </c>
      <c r="O43" s="1">
        <v>46204</v>
      </c>
      <c r="P43">
        <v>614</v>
      </c>
      <c r="Q43" t="s">
        <v>21</v>
      </c>
      <c r="R43" t="str">
        <f t="shared" si="0"/>
        <v>has not made new highs</v>
      </c>
      <c r="S43" s="15">
        <f t="shared" si="1"/>
        <v>1.0953491762647616</v>
      </c>
    </row>
    <row r="44" spans="1:19" x14ac:dyDescent="0.35">
      <c r="A44" t="s">
        <v>135</v>
      </c>
      <c r="B44" t="s">
        <v>135</v>
      </c>
      <c r="C44" t="s">
        <v>136</v>
      </c>
      <c r="D44" t="s">
        <v>27</v>
      </c>
      <c r="E44">
        <v>7372</v>
      </c>
      <c r="F44" t="s">
        <v>20</v>
      </c>
      <c r="G44" s="1">
        <v>45407</v>
      </c>
      <c r="H44" s="1">
        <v>45407</v>
      </c>
      <c r="I44" t="b">
        <v>0</v>
      </c>
      <c r="J44">
        <v>103</v>
      </c>
      <c r="K44" s="1">
        <v>45814</v>
      </c>
      <c r="L44">
        <v>28.34</v>
      </c>
      <c r="M44" s="1">
        <v>45464</v>
      </c>
      <c r="N44">
        <v>82.01</v>
      </c>
      <c r="O44" s="1">
        <v>46204</v>
      </c>
      <c r="P44">
        <v>547</v>
      </c>
      <c r="Q44" t="s">
        <v>21</v>
      </c>
      <c r="R44" t="str">
        <f t="shared" si="0"/>
        <v>has made new highs</v>
      </c>
      <c r="S44" s="15">
        <f t="shared" si="1"/>
        <v>2.6344389555398728</v>
      </c>
    </row>
    <row r="45" spans="1:19" x14ac:dyDescent="0.35">
      <c r="A45" t="s">
        <v>137</v>
      </c>
      <c r="B45" t="s">
        <v>137</v>
      </c>
      <c r="C45" t="s">
        <v>138</v>
      </c>
      <c r="D45" t="s">
        <v>84</v>
      </c>
      <c r="G45" s="1">
        <v>44454</v>
      </c>
      <c r="H45" s="1">
        <v>44454</v>
      </c>
      <c r="I45" t="b">
        <v>0</v>
      </c>
      <c r="J45">
        <v>64.05</v>
      </c>
      <c r="K45" s="1">
        <v>45687</v>
      </c>
      <c r="L45">
        <v>15.44</v>
      </c>
      <c r="M45" s="1">
        <v>44845</v>
      </c>
      <c r="N45">
        <v>35.56</v>
      </c>
      <c r="O45" s="1">
        <v>46204</v>
      </c>
      <c r="P45">
        <v>1203</v>
      </c>
      <c r="Q45" t="s">
        <v>21</v>
      </c>
      <c r="R45" t="str">
        <f t="shared" si="0"/>
        <v>has made new highs</v>
      </c>
      <c r="S45" s="15">
        <f t="shared" si="1"/>
        <v>3.1483160621761659</v>
      </c>
    </row>
    <row r="46" spans="1:19" x14ac:dyDescent="0.35">
      <c r="A46" t="s">
        <v>139</v>
      </c>
      <c r="B46" t="s">
        <v>139</v>
      </c>
      <c r="C46" t="s">
        <v>140</v>
      </c>
      <c r="D46" t="s">
        <v>127</v>
      </c>
      <c r="E46">
        <v>4899</v>
      </c>
      <c r="F46" t="s">
        <v>141</v>
      </c>
      <c r="G46" s="1">
        <v>44293</v>
      </c>
      <c r="H46" s="1">
        <v>44379</v>
      </c>
      <c r="I46" t="b">
        <v>1</v>
      </c>
      <c r="J46">
        <v>133.85990000000001</v>
      </c>
      <c r="K46" s="1">
        <v>46170</v>
      </c>
      <c r="L46">
        <v>1.97</v>
      </c>
      <c r="M46" s="1">
        <v>45384</v>
      </c>
      <c r="N46">
        <v>86.1</v>
      </c>
      <c r="O46" s="1">
        <v>46204</v>
      </c>
      <c r="P46">
        <v>1254</v>
      </c>
      <c r="Q46" t="s">
        <v>21</v>
      </c>
      <c r="R46" t="str">
        <f t="shared" si="0"/>
        <v>has made new highs</v>
      </c>
      <c r="S46" s="15">
        <f t="shared" si="1"/>
        <v>66.949187817258888</v>
      </c>
    </row>
    <row r="47" spans="1:19" x14ac:dyDescent="0.35">
      <c r="A47" t="s">
        <v>142</v>
      </c>
      <c r="B47" t="s">
        <v>142</v>
      </c>
      <c r="C47" t="s">
        <v>143</v>
      </c>
      <c r="D47" t="s">
        <v>30</v>
      </c>
      <c r="E47">
        <v>3760</v>
      </c>
      <c r="F47" t="s">
        <v>144</v>
      </c>
      <c r="G47" s="1">
        <v>44433</v>
      </c>
      <c r="H47" s="1">
        <v>44433</v>
      </c>
      <c r="I47" t="b">
        <v>0</v>
      </c>
      <c r="J47">
        <v>150.9999</v>
      </c>
      <c r="K47" s="1">
        <v>46169</v>
      </c>
      <c r="L47">
        <v>3.47</v>
      </c>
      <c r="M47" s="1">
        <v>45398</v>
      </c>
      <c r="N47">
        <v>100.07</v>
      </c>
      <c r="O47" s="1">
        <v>46204</v>
      </c>
      <c r="P47">
        <v>1217</v>
      </c>
      <c r="Q47" t="s">
        <v>21</v>
      </c>
      <c r="R47" t="str">
        <f t="shared" si="0"/>
        <v>has made new highs</v>
      </c>
      <c r="S47" s="15">
        <f t="shared" si="1"/>
        <v>42.51582132564841</v>
      </c>
    </row>
    <row r="48" spans="1:19" x14ac:dyDescent="0.35">
      <c r="A48" t="s">
        <v>145</v>
      </c>
      <c r="B48" t="s">
        <v>145</v>
      </c>
      <c r="C48" t="s">
        <v>146</v>
      </c>
      <c r="D48" t="s">
        <v>27</v>
      </c>
      <c r="E48">
        <v>7372</v>
      </c>
      <c r="F48" t="s">
        <v>20</v>
      </c>
      <c r="G48" s="1">
        <v>44097</v>
      </c>
      <c r="H48" s="1">
        <v>44379</v>
      </c>
      <c r="I48" t="b">
        <v>1</v>
      </c>
      <c r="J48">
        <v>71.92</v>
      </c>
      <c r="K48" s="1">
        <v>44454</v>
      </c>
      <c r="L48">
        <v>26.32</v>
      </c>
      <c r="M48" s="1">
        <v>44692</v>
      </c>
      <c r="N48">
        <v>31.28</v>
      </c>
      <c r="O48" s="1">
        <v>46204</v>
      </c>
      <c r="P48">
        <v>1254</v>
      </c>
      <c r="Q48" t="s">
        <v>21</v>
      </c>
      <c r="R48" t="str">
        <f t="shared" si="0"/>
        <v>has not made new highs</v>
      </c>
      <c r="S48" s="15">
        <f t="shared" si="1"/>
        <v>1.7325227963525835</v>
      </c>
    </row>
    <row r="49" spans="1:19" x14ac:dyDescent="0.35">
      <c r="A49" t="s">
        <v>147</v>
      </c>
      <c r="B49" t="s">
        <v>147</v>
      </c>
      <c r="C49" t="s">
        <v>148</v>
      </c>
      <c r="D49" t="s">
        <v>27</v>
      </c>
      <c r="E49">
        <v>3674</v>
      </c>
      <c r="F49" t="s">
        <v>149</v>
      </c>
      <c r="G49" s="1">
        <v>44588</v>
      </c>
      <c r="H49" s="1">
        <v>44588</v>
      </c>
      <c r="I49" t="b">
        <v>0</v>
      </c>
      <c r="J49">
        <v>308.66989999999998</v>
      </c>
      <c r="K49" s="1">
        <v>46195</v>
      </c>
      <c r="L49">
        <v>7.1950000000000003</v>
      </c>
      <c r="M49" s="1">
        <v>45050</v>
      </c>
      <c r="N49">
        <v>259.08999999999997</v>
      </c>
      <c r="O49" s="1">
        <v>46204</v>
      </c>
      <c r="P49">
        <v>1110</v>
      </c>
      <c r="Q49" t="s">
        <v>21</v>
      </c>
      <c r="R49" t="str">
        <f t="shared" si="0"/>
        <v>has made new highs</v>
      </c>
      <c r="S49" s="15">
        <f t="shared" si="1"/>
        <v>41.900611535788741</v>
      </c>
    </row>
    <row r="50" spans="1:19" x14ac:dyDescent="0.35">
      <c r="A50" t="s">
        <v>150</v>
      </c>
      <c r="B50" t="s">
        <v>150</v>
      </c>
      <c r="C50" t="s">
        <v>151</v>
      </c>
      <c r="D50" t="s">
        <v>84</v>
      </c>
      <c r="E50">
        <v>3711</v>
      </c>
      <c r="F50" t="s">
        <v>152</v>
      </c>
      <c r="G50" s="1">
        <v>44510</v>
      </c>
      <c r="H50" s="1">
        <v>44510</v>
      </c>
      <c r="I50" t="b">
        <v>0</v>
      </c>
      <c r="J50">
        <v>179.4699</v>
      </c>
      <c r="K50" s="1">
        <v>44516</v>
      </c>
      <c r="L50">
        <v>8.26</v>
      </c>
      <c r="M50" s="1">
        <v>45398</v>
      </c>
      <c r="N50">
        <v>17.18</v>
      </c>
      <c r="O50" s="1">
        <v>46204</v>
      </c>
      <c r="P50">
        <v>1163</v>
      </c>
      <c r="Q50" t="s">
        <v>21</v>
      </c>
      <c r="R50" t="str">
        <f t="shared" si="0"/>
        <v>has not made new highs</v>
      </c>
      <c r="S50" s="15">
        <f t="shared" si="1"/>
        <v>20.727590799031478</v>
      </c>
    </row>
    <row r="51" spans="1:19" x14ac:dyDescent="0.35">
      <c r="A51" t="s">
        <v>153</v>
      </c>
      <c r="B51" t="s">
        <v>153</v>
      </c>
      <c r="C51" t="s">
        <v>154</v>
      </c>
      <c r="D51" t="s">
        <v>27</v>
      </c>
      <c r="G51" s="1">
        <v>44357</v>
      </c>
      <c r="H51" s="1">
        <v>44379</v>
      </c>
      <c r="I51" t="b">
        <v>1</v>
      </c>
      <c r="J51">
        <v>450</v>
      </c>
      <c r="K51" s="1">
        <v>44509</v>
      </c>
      <c r="L51">
        <v>57.5</v>
      </c>
      <c r="M51" s="1">
        <v>46122</v>
      </c>
      <c r="N51">
        <v>76.260000000000005</v>
      </c>
      <c r="O51" s="1">
        <v>46204</v>
      </c>
      <c r="P51">
        <v>1254</v>
      </c>
      <c r="Q51" t="s">
        <v>21</v>
      </c>
      <c r="R51" t="str">
        <f t="shared" si="0"/>
        <v>has not made new highs</v>
      </c>
      <c r="S51" s="15">
        <f t="shared" si="1"/>
        <v>6.8260869565217392</v>
      </c>
    </row>
    <row r="52" spans="1:19" x14ac:dyDescent="0.35">
      <c r="A52" t="s">
        <v>155</v>
      </c>
      <c r="B52" t="s">
        <v>155</v>
      </c>
      <c r="C52" t="s">
        <v>156</v>
      </c>
      <c r="D52" t="s">
        <v>68</v>
      </c>
      <c r="E52">
        <v>2834</v>
      </c>
      <c r="F52" t="s">
        <v>157</v>
      </c>
      <c r="G52" s="1">
        <v>42068</v>
      </c>
      <c r="H52" s="1">
        <v>44379</v>
      </c>
      <c r="I52" t="b">
        <v>1</v>
      </c>
      <c r="J52">
        <v>36.909999999999997</v>
      </c>
      <c r="K52" s="1">
        <v>45771</v>
      </c>
      <c r="L52">
        <v>0.66</v>
      </c>
      <c r="M52" s="1">
        <v>44897</v>
      </c>
      <c r="N52">
        <v>14.38</v>
      </c>
      <c r="O52" s="1">
        <v>46204</v>
      </c>
      <c r="P52">
        <v>1254</v>
      </c>
      <c r="Q52" t="s">
        <v>21</v>
      </c>
      <c r="R52" t="str">
        <f t="shared" si="0"/>
        <v>has made new highs</v>
      </c>
      <c r="S52" s="15">
        <f t="shared" si="1"/>
        <v>54.924242424242422</v>
      </c>
    </row>
    <row r="53" spans="1:19" x14ac:dyDescent="0.35">
      <c r="A53" t="s">
        <v>158</v>
      </c>
      <c r="B53" t="s">
        <v>158</v>
      </c>
      <c r="C53" t="s">
        <v>159</v>
      </c>
      <c r="D53" t="s">
        <v>27</v>
      </c>
      <c r="E53">
        <v>7372</v>
      </c>
      <c r="F53" t="s">
        <v>20</v>
      </c>
      <c r="G53" s="1">
        <v>44860</v>
      </c>
      <c r="H53" s="1">
        <v>44860</v>
      </c>
      <c r="I53" t="b">
        <v>0</v>
      </c>
      <c r="J53">
        <v>48.11</v>
      </c>
      <c r="K53" s="1">
        <v>44972</v>
      </c>
      <c r="L53">
        <v>6.47</v>
      </c>
      <c r="M53" s="1">
        <v>46111</v>
      </c>
      <c r="N53">
        <v>9.67</v>
      </c>
      <c r="O53" s="1">
        <v>46204</v>
      </c>
      <c r="P53">
        <v>922</v>
      </c>
      <c r="Q53" t="s">
        <v>21</v>
      </c>
      <c r="R53" t="str">
        <f t="shared" si="0"/>
        <v>has not made new highs</v>
      </c>
      <c r="S53" s="15">
        <f t="shared" si="1"/>
        <v>6.4358578052550239</v>
      </c>
    </row>
    <row r="54" spans="1:19" x14ac:dyDescent="0.35">
      <c r="A54" t="s">
        <v>160</v>
      </c>
      <c r="B54" t="s">
        <v>160</v>
      </c>
      <c r="C54" t="s">
        <v>161</v>
      </c>
      <c r="D54" t="s">
        <v>27</v>
      </c>
      <c r="E54">
        <v>3674</v>
      </c>
      <c r="F54" t="s">
        <v>149</v>
      </c>
      <c r="G54" s="1">
        <v>45371</v>
      </c>
      <c r="H54" s="1">
        <v>45371</v>
      </c>
      <c r="I54" t="b">
        <v>0</v>
      </c>
      <c r="J54">
        <v>499.47620000000001</v>
      </c>
      <c r="K54" s="1">
        <v>46203</v>
      </c>
      <c r="L54">
        <v>36.215000000000003</v>
      </c>
      <c r="M54" s="1">
        <v>45511</v>
      </c>
      <c r="N54">
        <v>430.86</v>
      </c>
      <c r="O54" s="1">
        <v>46204</v>
      </c>
      <c r="P54">
        <v>572</v>
      </c>
      <c r="Q54" t="s">
        <v>21</v>
      </c>
      <c r="R54" t="str">
        <f t="shared" si="0"/>
        <v>has made new highs</v>
      </c>
      <c r="S54" s="15">
        <f t="shared" si="1"/>
        <v>12.791970178102996</v>
      </c>
    </row>
    <row r="55" spans="1:19" x14ac:dyDescent="0.35">
      <c r="A55" t="s">
        <v>162</v>
      </c>
      <c r="B55" t="s">
        <v>162</v>
      </c>
      <c r="C55" t="s">
        <v>163</v>
      </c>
      <c r="D55" t="s">
        <v>19</v>
      </c>
      <c r="E55">
        <v>8734</v>
      </c>
      <c r="F55" t="s">
        <v>164</v>
      </c>
      <c r="G55" s="1">
        <v>45394</v>
      </c>
      <c r="H55" s="1">
        <v>45394</v>
      </c>
      <c r="I55" t="b">
        <v>0</v>
      </c>
      <c r="J55">
        <v>107.54</v>
      </c>
      <c r="K55" s="1">
        <v>46148</v>
      </c>
      <c r="L55">
        <v>33.15</v>
      </c>
      <c r="M55" s="1">
        <v>45394</v>
      </c>
      <c r="N55">
        <v>97.67</v>
      </c>
      <c r="O55" s="1">
        <v>46204</v>
      </c>
      <c r="P55">
        <v>556</v>
      </c>
      <c r="Q55" t="s">
        <v>21</v>
      </c>
      <c r="R55" t="str">
        <f t="shared" si="0"/>
        <v>has made new highs</v>
      </c>
      <c r="S55" s="15">
        <f t="shared" si="1"/>
        <v>2.2440422322775269</v>
      </c>
    </row>
    <row r="56" spans="1:19" x14ac:dyDescent="0.35">
      <c r="A56" t="s">
        <v>165</v>
      </c>
      <c r="B56" t="s">
        <v>165</v>
      </c>
      <c r="C56" t="s">
        <v>166</v>
      </c>
      <c r="D56" t="s">
        <v>41</v>
      </c>
      <c r="E56">
        <v>4911</v>
      </c>
      <c r="F56" t="s">
        <v>42</v>
      </c>
      <c r="G56" s="1">
        <v>45078</v>
      </c>
      <c r="H56" s="1">
        <v>45483</v>
      </c>
      <c r="I56" t="b">
        <v>1</v>
      </c>
      <c r="J56">
        <v>451.28</v>
      </c>
      <c r="K56" s="1">
        <v>45933</v>
      </c>
      <c r="L56">
        <v>98.5</v>
      </c>
      <c r="M56" s="1">
        <v>45506</v>
      </c>
      <c r="N56">
        <v>360.79</v>
      </c>
      <c r="O56" s="1">
        <v>46204</v>
      </c>
      <c r="P56">
        <v>496</v>
      </c>
      <c r="Q56" t="s">
        <v>21</v>
      </c>
      <c r="R56" t="str">
        <f t="shared" si="0"/>
        <v>has made new highs</v>
      </c>
      <c r="S56" s="15">
        <f t="shared" si="1"/>
        <v>3.5815228426395938</v>
      </c>
    </row>
    <row r="57" spans="1:19" x14ac:dyDescent="0.35">
      <c r="A57" t="s">
        <v>167</v>
      </c>
      <c r="B57" t="s">
        <v>167</v>
      </c>
      <c r="C57" t="s">
        <v>168</v>
      </c>
      <c r="D57" t="s">
        <v>64</v>
      </c>
      <c r="E57">
        <v>3630</v>
      </c>
      <c r="F57" t="s">
        <v>169</v>
      </c>
      <c r="G57" s="1">
        <v>45138</v>
      </c>
      <c r="H57" s="1">
        <v>45138</v>
      </c>
      <c r="I57" t="b">
        <v>0</v>
      </c>
      <c r="J57">
        <v>152.55000000000001</v>
      </c>
      <c r="K57" s="1">
        <v>46204</v>
      </c>
      <c r="L57">
        <v>25.84</v>
      </c>
      <c r="M57" s="1">
        <v>45142</v>
      </c>
      <c r="N57">
        <v>151.84</v>
      </c>
      <c r="O57" s="1">
        <v>46204</v>
      </c>
      <c r="P57">
        <v>733</v>
      </c>
      <c r="Q57" t="s">
        <v>21</v>
      </c>
      <c r="R57" t="str">
        <f t="shared" si="0"/>
        <v>has made new highs</v>
      </c>
      <c r="S57" s="15">
        <f t="shared" si="1"/>
        <v>4.9036377708978334</v>
      </c>
    </row>
    <row r="58" spans="1:19" x14ac:dyDescent="0.35">
      <c r="A58" t="s">
        <v>170</v>
      </c>
      <c r="B58" t="s">
        <v>170</v>
      </c>
      <c r="C58" t="s">
        <v>171</v>
      </c>
      <c r="D58" t="s">
        <v>68</v>
      </c>
      <c r="E58">
        <v>3841</v>
      </c>
      <c r="F58" t="s">
        <v>172</v>
      </c>
      <c r="G58" s="1">
        <v>45377</v>
      </c>
      <c r="H58" s="1">
        <v>45383</v>
      </c>
      <c r="I58" t="b">
        <v>1</v>
      </c>
      <c r="J58">
        <v>88.2</v>
      </c>
      <c r="K58" s="1">
        <v>45993</v>
      </c>
      <c r="L58">
        <v>47.16</v>
      </c>
      <c r="M58" s="1">
        <v>45489</v>
      </c>
      <c r="N58">
        <v>78.349999999999994</v>
      </c>
      <c r="O58" s="1">
        <v>46204</v>
      </c>
      <c r="P58">
        <v>565</v>
      </c>
      <c r="Q58" t="s">
        <v>21</v>
      </c>
      <c r="R58" t="str">
        <f t="shared" si="0"/>
        <v>has made new highs</v>
      </c>
      <c r="S58" s="15">
        <f t="shared" si="1"/>
        <v>0.87022900763358801</v>
      </c>
    </row>
    <row r="59" spans="1:19" x14ac:dyDescent="0.35">
      <c r="A59" t="s">
        <v>173</v>
      </c>
      <c r="B59" t="s">
        <v>173</v>
      </c>
      <c r="C59" t="s">
        <v>174</v>
      </c>
      <c r="D59" t="s">
        <v>30</v>
      </c>
      <c r="G59" s="1">
        <v>44369</v>
      </c>
      <c r="H59" s="1">
        <v>44379</v>
      </c>
      <c r="I59" t="b">
        <v>1</v>
      </c>
      <c r="J59">
        <v>19.71</v>
      </c>
      <c r="K59" s="1">
        <v>44379</v>
      </c>
      <c r="L59">
        <v>4.12</v>
      </c>
      <c r="M59" s="1">
        <v>44634</v>
      </c>
      <c r="N59">
        <v>8.4600000000000009</v>
      </c>
      <c r="O59" s="1">
        <v>46204</v>
      </c>
      <c r="P59">
        <v>1254</v>
      </c>
      <c r="Q59" t="s">
        <v>21</v>
      </c>
      <c r="R59" t="str">
        <f t="shared" si="0"/>
        <v>has not made new highs</v>
      </c>
      <c r="S59" s="15">
        <f t="shared" si="1"/>
        <v>3.7839805825242716</v>
      </c>
    </row>
    <row r="60" spans="1:19" x14ac:dyDescent="0.35">
      <c r="A60" t="s">
        <v>175</v>
      </c>
      <c r="B60" t="s">
        <v>175</v>
      </c>
      <c r="C60" t="s">
        <v>176</v>
      </c>
      <c r="D60" t="s">
        <v>64</v>
      </c>
      <c r="E60">
        <v>5411</v>
      </c>
      <c r="F60" t="s">
        <v>177</v>
      </c>
      <c r="G60" s="1">
        <v>44008</v>
      </c>
      <c r="H60" s="1">
        <v>44379</v>
      </c>
      <c r="I60" t="b">
        <v>1</v>
      </c>
      <c r="J60">
        <v>37.99</v>
      </c>
      <c r="K60" s="1">
        <v>44627</v>
      </c>
      <c r="L60">
        <v>13.164999999999999</v>
      </c>
      <c r="M60" s="1">
        <v>46203</v>
      </c>
      <c r="N60">
        <v>13.81</v>
      </c>
      <c r="O60" s="1">
        <v>46204</v>
      </c>
      <c r="P60">
        <v>1254</v>
      </c>
      <c r="Q60" t="s">
        <v>21</v>
      </c>
      <c r="R60" t="str">
        <f t="shared" si="0"/>
        <v>has not made new highs</v>
      </c>
      <c r="S60" s="15">
        <f t="shared" si="1"/>
        <v>1.8856817318647934</v>
      </c>
    </row>
    <row r="61" spans="1:19" x14ac:dyDescent="0.35">
      <c r="A61" t="s">
        <v>178</v>
      </c>
      <c r="B61" t="s">
        <v>178</v>
      </c>
      <c r="C61" t="s">
        <v>179</v>
      </c>
      <c r="D61" t="s">
        <v>30</v>
      </c>
      <c r="E61">
        <v>5099</v>
      </c>
      <c r="F61" t="s">
        <v>180</v>
      </c>
      <c r="G61" s="1">
        <v>44400</v>
      </c>
      <c r="H61" s="1">
        <v>44400</v>
      </c>
      <c r="I61" t="b">
        <v>0</v>
      </c>
      <c r="J61">
        <v>67.180000000000007</v>
      </c>
      <c r="K61" s="1">
        <v>45905</v>
      </c>
      <c r="L61">
        <v>18.75</v>
      </c>
      <c r="M61" s="1">
        <v>44915</v>
      </c>
      <c r="N61">
        <v>45.41</v>
      </c>
      <c r="O61" s="1">
        <v>46204</v>
      </c>
      <c r="P61">
        <v>1240</v>
      </c>
      <c r="Q61" t="s">
        <v>21</v>
      </c>
      <c r="R61" t="str">
        <f t="shared" si="0"/>
        <v>has made new highs</v>
      </c>
      <c r="S61" s="15">
        <f t="shared" si="1"/>
        <v>2.5829333333333335</v>
      </c>
    </row>
    <row r="62" spans="1:19" x14ac:dyDescent="0.35">
      <c r="A62" t="s">
        <v>181</v>
      </c>
      <c r="B62" t="s">
        <v>181</v>
      </c>
      <c r="C62" t="s">
        <v>182</v>
      </c>
      <c r="D62" t="s">
        <v>30</v>
      </c>
      <c r="E62">
        <v>3812</v>
      </c>
      <c r="F62" t="s">
        <v>183</v>
      </c>
      <c r="G62" s="1">
        <v>44279</v>
      </c>
      <c r="H62" s="1">
        <v>44894</v>
      </c>
      <c r="I62" t="b">
        <v>1</v>
      </c>
      <c r="J62">
        <v>50.59</v>
      </c>
      <c r="K62" s="1">
        <v>46185</v>
      </c>
      <c r="L62">
        <v>9.11</v>
      </c>
      <c r="M62" s="1">
        <v>44895</v>
      </c>
      <c r="N62">
        <v>42.685000000000002</v>
      </c>
      <c r="O62" s="1">
        <v>46204</v>
      </c>
      <c r="P62">
        <v>899</v>
      </c>
      <c r="Q62" t="s">
        <v>21</v>
      </c>
      <c r="R62" t="str">
        <f t="shared" si="0"/>
        <v>has made new highs</v>
      </c>
      <c r="S62" s="15">
        <f t="shared" si="1"/>
        <v>4.5532381997804618</v>
      </c>
    </row>
    <row r="63" spans="1:19" x14ac:dyDescent="0.35">
      <c r="A63" t="s">
        <v>184</v>
      </c>
      <c r="B63" t="s">
        <v>184</v>
      </c>
      <c r="C63" t="s">
        <v>185</v>
      </c>
      <c r="D63" t="s">
        <v>37</v>
      </c>
      <c r="E63">
        <v>7389</v>
      </c>
      <c r="F63" t="s">
        <v>38</v>
      </c>
      <c r="G63" s="1">
        <v>45188</v>
      </c>
      <c r="H63" s="1">
        <v>45188</v>
      </c>
      <c r="I63" t="b">
        <v>0</v>
      </c>
      <c r="J63">
        <v>53.5</v>
      </c>
      <c r="K63" s="1">
        <v>45877</v>
      </c>
      <c r="L63">
        <v>22.13</v>
      </c>
      <c r="M63" s="1">
        <v>45296</v>
      </c>
      <c r="N63">
        <v>44.83</v>
      </c>
      <c r="O63" s="1">
        <v>46204</v>
      </c>
      <c r="P63">
        <v>698</v>
      </c>
      <c r="Q63" t="s">
        <v>21</v>
      </c>
      <c r="R63" t="str">
        <f t="shared" si="0"/>
        <v>has made new highs</v>
      </c>
      <c r="S63" s="15">
        <f t="shared" si="1"/>
        <v>1.4175327609579758</v>
      </c>
    </row>
    <row r="64" spans="1:19" x14ac:dyDescent="0.35">
      <c r="A64" t="s">
        <v>186</v>
      </c>
      <c r="B64" t="s">
        <v>186</v>
      </c>
      <c r="C64" t="s">
        <v>187</v>
      </c>
      <c r="D64" t="s">
        <v>68</v>
      </c>
      <c r="E64">
        <v>7370</v>
      </c>
      <c r="F64" t="s">
        <v>34</v>
      </c>
      <c r="G64" s="1">
        <v>45457</v>
      </c>
      <c r="H64" s="1">
        <v>45457</v>
      </c>
      <c r="I64" t="b">
        <v>0</v>
      </c>
      <c r="J64">
        <v>104.32</v>
      </c>
      <c r="K64" s="1">
        <v>45939</v>
      </c>
      <c r="L64">
        <v>22.89</v>
      </c>
      <c r="M64" s="1">
        <v>45468</v>
      </c>
      <c r="N64">
        <v>61.6</v>
      </c>
      <c r="O64" s="1">
        <v>46204</v>
      </c>
      <c r="P64">
        <v>512</v>
      </c>
      <c r="Q64" t="s">
        <v>21</v>
      </c>
      <c r="R64" t="str">
        <f t="shared" si="0"/>
        <v>has made new highs</v>
      </c>
      <c r="S64" s="15">
        <f t="shared" si="1"/>
        <v>3.5574486675404104</v>
      </c>
    </row>
    <row r="65" spans="1:19" x14ac:dyDescent="0.35">
      <c r="A65" t="s">
        <v>188</v>
      </c>
      <c r="B65" t="s">
        <v>188</v>
      </c>
      <c r="C65" t="s">
        <v>189</v>
      </c>
      <c r="D65" t="s">
        <v>37</v>
      </c>
      <c r="E65">
        <v>5810</v>
      </c>
      <c r="F65" t="s">
        <v>190</v>
      </c>
      <c r="G65" s="1">
        <v>44454</v>
      </c>
      <c r="H65" s="1">
        <v>44454</v>
      </c>
      <c r="I65" t="b">
        <v>0</v>
      </c>
      <c r="J65">
        <v>86.88</v>
      </c>
      <c r="K65" s="1">
        <v>45706</v>
      </c>
      <c r="L65">
        <v>20.05</v>
      </c>
      <c r="M65" s="1">
        <v>44693</v>
      </c>
      <c r="N65">
        <v>73.31</v>
      </c>
      <c r="O65" s="1">
        <v>46204</v>
      </c>
      <c r="P65">
        <v>1203</v>
      </c>
      <c r="Q65" t="s">
        <v>21</v>
      </c>
      <c r="R65" t="str">
        <f t="shared" si="0"/>
        <v>has made new highs</v>
      </c>
      <c r="S65" s="15">
        <f t="shared" si="1"/>
        <v>3.3331670822942643</v>
      </c>
    </row>
    <row r="66" spans="1:19" x14ac:dyDescent="0.35">
      <c r="A66" t="s">
        <v>191</v>
      </c>
      <c r="B66" t="s">
        <v>191</v>
      </c>
      <c r="C66" t="s">
        <v>192</v>
      </c>
      <c r="D66" t="s">
        <v>68</v>
      </c>
      <c r="E66">
        <v>7371</v>
      </c>
      <c r="F66" t="s">
        <v>193</v>
      </c>
      <c r="G66" s="1">
        <v>44371</v>
      </c>
      <c r="H66" s="1">
        <v>44379</v>
      </c>
      <c r="I66" t="b">
        <v>1</v>
      </c>
      <c r="J66">
        <v>107.79</v>
      </c>
      <c r="K66" s="1">
        <v>44449</v>
      </c>
      <c r="L66">
        <v>17.149999999999999</v>
      </c>
      <c r="M66" s="1">
        <v>46156</v>
      </c>
      <c r="N66">
        <v>21.59</v>
      </c>
      <c r="O66" s="1">
        <v>46204</v>
      </c>
      <c r="P66">
        <v>1254</v>
      </c>
      <c r="Q66" t="s">
        <v>21</v>
      </c>
      <c r="R66" t="str">
        <f t="shared" si="0"/>
        <v>has not made new highs</v>
      </c>
      <c r="S66" s="15">
        <f t="shared" si="1"/>
        <v>5.2851311953352784</v>
      </c>
    </row>
    <row r="67" spans="1:19" x14ac:dyDescent="0.35">
      <c r="A67" t="s">
        <v>194</v>
      </c>
      <c r="B67" t="s">
        <v>194</v>
      </c>
      <c r="C67" t="s">
        <v>195</v>
      </c>
      <c r="D67" t="s">
        <v>24</v>
      </c>
      <c r="E67">
        <v>4922</v>
      </c>
      <c r="F67" t="s">
        <v>196</v>
      </c>
      <c r="G67" s="1">
        <v>44365</v>
      </c>
      <c r="H67" s="1">
        <v>44379</v>
      </c>
      <c r="I67" t="b">
        <v>1</v>
      </c>
      <c r="J67">
        <v>152.88</v>
      </c>
      <c r="K67" s="1">
        <v>46168</v>
      </c>
      <c r="L67">
        <v>38.46</v>
      </c>
      <c r="M67" s="1">
        <v>44385</v>
      </c>
      <c r="N67">
        <v>143.78</v>
      </c>
      <c r="O67" s="1">
        <v>46204</v>
      </c>
      <c r="P67">
        <v>1254</v>
      </c>
      <c r="Q67" t="s">
        <v>21</v>
      </c>
      <c r="R67" t="str">
        <f t="shared" ref="R67:R130" si="2">IF(K67&gt;M67,"has made new highs","has not made new highs")</f>
        <v>has made new highs</v>
      </c>
      <c r="S67" s="15">
        <f t="shared" ref="S67:S130" si="3">(J67-L67)/L67</f>
        <v>2.9750390015600621</v>
      </c>
    </row>
    <row r="68" spans="1:19" x14ac:dyDescent="0.35">
      <c r="A68" t="s">
        <v>197</v>
      </c>
      <c r="B68" t="s">
        <v>197</v>
      </c>
      <c r="C68" t="s">
        <v>198</v>
      </c>
      <c r="D68" t="s">
        <v>68</v>
      </c>
      <c r="E68">
        <v>8011</v>
      </c>
      <c r="F68" t="s">
        <v>199</v>
      </c>
      <c r="G68" s="1">
        <v>44217</v>
      </c>
      <c r="H68" s="1">
        <v>44379</v>
      </c>
      <c r="I68" t="b">
        <v>1</v>
      </c>
      <c r="J68">
        <v>72.98</v>
      </c>
      <c r="K68" s="1">
        <v>45707</v>
      </c>
      <c r="L68">
        <v>2.72</v>
      </c>
      <c r="M68" s="1">
        <v>44693</v>
      </c>
      <c r="N68">
        <v>37.57</v>
      </c>
      <c r="O68" s="1">
        <v>46204</v>
      </c>
      <c r="P68">
        <v>1254</v>
      </c>
      <c r="Q68" t="s">
        <v>21</v>
      </c>
      <c r="R68" t="str">
        <f t="shared" si="2"/>
        <v>has made new highs</v>
      </c>
      <c r="S68" s="15">
        <f t="shared" si="3"/>
        <v>25.830882352941178</v>
      </c>
    </row>
    <row r="69" spans="1:19" x14ac:dyDescent="0.35">
      <c r="A69" t="s">
        <v>200</v>
      </c>
      <c r="B69" t="s">
        <v>200</v>
      </c>
      <c r="C69" t="s">
        <v>201</v>
      </c>
      <c r="D69" t="s">
        <v>27</v>
      </c>
      <c r="E69">
        <v>7373</v>
      </c>
      <c r="F69" t="s">
        <v>102</v>
      </c>
      <c r="G69" s="1">
        <v>44200</v>
      </c>
      <c r="H69" s="1">
        <v>44470</v>
      </c>
      <c r="I69" t="b">
        <v>1</v>
      </c>
      <c r="J69">
        <v>84.64</v>
      </c>
      <c r="K69" s="1">
        <v>45943</v>
      </c>
      <c r="L69">
        <v>3.04</v>
      </c>
      <c r="M69" s="1">
        <v>44923</v>
      </c>
      <c r="N69">
        <v>51.4</v>
      </c>
      <c r="O69" s="1">
        <v>46204</v>
      </c>
      <c r="P69">
        <v>1191</v>
      </c>
      <c r="Q69" t="s">
        <v>21</v>
      </c>
      <c r="R69" t="str">
        <f t="shared" si="2"/>
        <v>has made new highs</v>
      </c>
      <c r="S69" s="15">
        <f t="shared" si="3"/>
        <v>26.842105263157894</v>
      </c>
    </row>
    <row r="70" spans="1:19" x14ac:dyDescent="0.35">
      <c r="A70" t="s">
        <v>202</v>
      </c>
      <c r="B70" t="s">
        <v>202</v>
      </c>
      <c r="C70" t="s">
        <v>203</v>
      </c>
      <c r="D70" t="s">
        <v>30</v>
      </c>
      <c r="E70">
        <v>3443</v>
      </c>
      <c r="F70" t="s">
        <v>204</v>
      </c>
      <c r="G70" s="1">
        <v>44684</v>
      </c>
      <c r="H70" s="1">
        <v>44684</v>
      </c>
      <c r="I70" t="b">
        <v>0</v>
      </c>
      <c r="J70">
        <v>57.42</v>
      </c>
      <c r="K70" s="1">
        <v>45946</v>
      </c>
      <c r="L70">
        <v>1.81</v>
      </c>
      <c r="M70" s="1">
        <v>45239</v>
      </c>
      <c r="N70">
        <v>10.15</v>
      </c>
      <c r="O70" s="1">
        <v>46204</v>
      </c>
      <c r="P70">
        <v>1044</v>
      </c>
      <c r="Q70" t="s">
        <v>21</v>
      </c>
      <c r="R70" t="str">
        <f t="shared" si="2"/>
        <v>has made new highs</v>
      </c>
      <c r="S70" s="15">
        <f t="shared" si="3"/>
        <v>30.723756906077348</v>
      </c>
    </row>
    <row r="71" spans="1:19" x14ac:dyDescent="0.35">
      <c r="A71" t="s">
        <v>205</v>
      </c>
      <c r="B71" t="s">
        <v>205</v>
      </c>
      <c r="C71" t="s">
        <v>206</v>
      </c>
      <c r="D71" t="s">
        <v>30</v>
      </c>
      <c r="E71">
        <v>3724</v>
      </c>
      <c r="F71" t="s">
        <v>207</v>
      </c>
      <c r="G71" s="1">
        <v>45567</v>
      </c>
      <c r="H71" s="1">
        <v>45567</v>
      </c>
      <c r="I71" t="b">
        <v>0</v>
      </c>
      <c r="J71">
        <v>34.479999999999997</v>
      </c>
      <c r="K71" s="1">
        <v>46042</v>
      </c>
      <c r="L71">
        <v>21.31</v>
      </c>
      <c r="M71" s="1">
        <v>45754</v>
      </c>
      <c r="N71">
        <v>30</v>
      </c>
      <c r="O71" s="1">
        <v>46204</v>
      </c>
      <c r="P71">
        <v>437</v>
      </c>
      <c r="Q71" t="s">
        <v>21</v>
      </c>
      <c r="R71" t="str">
        <f t="shared" si="2"/>
        <v>has made new highs</v>
      </c>
      <c r="S71" s="15">
        <f t="shared" si="3"/>
        <v>0.61801970905678083</v>
      </c>
    </row>
    <row r="72" spans="1:19" x14ac:dyDescent="0.35">
      <c r="A72" t="s">
        <v>208</v>
      </c>
      <c r="B72" t="s">
        <v>208</v>
      </c>
      <c r="C72" t="s">
        <v>209</v>
      </c>
      <c r="D72" t="s">
        <v>45</v>
      </c>
      <c r="E72">
        <v>7372</v>
      </c>
      <c r="F72" t="s">
        <v>20</v>
      </c>
      <c r="G72" s="1">
        <v>44336</v>
      </c>
      <c r="H72" s="1">
        <v>44379</v>
      </c>
      <c r="I72" t="b">
        <v>1</v>
      </c>
      <c r="J72">
        <v>108.75</v>
      </c>
      <c r="K72" s="1">
        <v>44410</v>
      </c>
      <c r="L72">
        <v>38.03</v>
      </c>
      <c r="M72" s="1">
        <v>46198</v>
      </c>
      <c r="N72">
        <v>42.14</v>
      </c>
      <c r="O72" s="1">
        <v>46204</v>
      </c>
      <c r="P72">
        <v>1254</v>
      </c>
      <c r="Q72" t="s">
        <v>21</v>
      </c>
      <c r="R72" t="str">
        <f t="shared" si="2"/>
        <v>has not made new highs</v>
      </c>
      <c r="S72" s="15">
        <f t="shared" si="3"/>
        <v>1.8595845385222192</v>
      </c>
    </row>
    <row r="73" spans="1:19" x14ac:dyDescent="0.35">
      <c r="A73" t="s">
        <v>210</v>
      </c>
      <c r="B73" t="s">
        <v>210</v>
      </c>
      <c r="C73" t="s">
        <v>211</v>
      </c>
      <c r="D73" t="s">
        <v>27</v>
      </c>
      <c r="E73">
        <v>7372</v>
      </c>
      <c r="F73" t="s">
        <v>20</v>
      </c>
      <c r="G73" s="1">
        <v>44092</v>
      </c>
      <c r="H73" s="1">
        <v>44379</v>
      </c>
      <c r="I73" t="b">
        <v>1</v>
      </c>
      <c r="J73">
        <v>210</v>
      </c>
      <c r="K73" s="1">
        <v>44518</v>
      </c>
      <c r="L73">
        <v>13.895</v>
      </c>
      <c r="M73" s="1">
        <v>45511</v>
      </c>
      <c r="N73">
        <v>30.19</v>
      </c>
      <c r="O73" s="1">
        <v>46204</v>
      </c>
      <c r="P73">
        <v>1254</v>
      </c>
      <c r="Q73" t="s">
        <v>21</v>
      </c>
      <c r="R73" t="str">
        <f t="shared" si="2"/>
        <v>has not made new highs</v>
      </c>
      <c r="S73" s="15">
        <f t="shared" si="3"/>
        <v>14.113350125944583</v>
      </c>
    </row>
    <row r="74" spans="1:19" x14ac:dyDescent="0.35">
      <c r="A74" t="s">
        <v>212</v>
      </c>
      <c r="B74" t="s">
        <v>212</v>
      </c>
      <c r="C74" t="s">
        <v>213</v>
      </c>
      <c r="D74" t="s">
        <v>45</v>
      </c>
      <c r="E74">
        <v>6798</v>
      </c>
      <c r="F74" t="s">
        <v>214</v>
      </c>
      <c r="G74" s="1">
        <v>45498</v>
      </c>
      <c r="H74" s="1">
        <v>45498</v>
      </c>
      <c r="I74" t="b">
        <v>0</v>
      </c>
      <c r="J74">
        <v>89.85</v>
      </c>
      <c r="K74" s="1">
        <v>45504</v>
      </c>
      <c r="L74">
        <v>31.33</v>
      </c>
      <c r="M74" s="1">
        <v>46111</v>
      </c>
      <c r="N74">
        <v>43.59</v>
      </c>
      <c r="O74" s="1">
        <v>46204</v>
      </c>
      <c r="P74">
        <v>485</v>
      </c>
      <c r="Q74" t="s">
        <v>21</v>
      </c>
      <c r="R74" t="str">
        <f t="shared" si="2"/>
        <v>has not made new highs</v>
      </c>
      <c r="S74" s="15">
        <f t="shared" si="3"/>
        <v>1.8678582827960422</v>
      </c>
    </row>
    <row r="75" spans="1:19" x14ac:dyDescent="0.35">
      <c r="A75" t="s">
        <v>215</v>
      </c>
      <c r="B75" t="s">
        <v>215</v>
      </c>
      <c r="C75" t="s">
        <v>216</v>
      </c>
      <c r="D75" t="s">
        <v>27</v>
      </c>
      <c r="E75">
        <v>7373</v>
      </c>
      <c r="F75" t="s">
        <v>102</v>
      </c>
      <c r="G75" s="1">
        <v>44491</v>
      </c>
      <c r="H75" s="1">
        <v>44504</v>
      </c>
      <c r="I75" t="b">
        <v>1</v>
      </c>
      <c r="J75">
        <v>44.2</v>
      </c>
      <c r="K75" s="1">
        <v>45846</v>
      </c>
      <c r="L75">
        <v>7.93</v>
      </c>
      <c r="M75" s="1">
        <v>44847</v>
      </c>
      <c r="N75">
        <v>12</v>
      </c>
      <c r="O75" s="1">
        <v>46204</v>
      </c>
      <c r="P75">
        <v>1167</v>
      </c>
      <c r="Q75" t="s">
        <v>21</v>
      </c>
      <c r="R75" t="str">
        <f t="shared" si="2"/>
        <v>has made new highs</v>
      </c>
      <c r="S75" s="15">
        <f t="shared" si="3"/>
        <v>4.5737704918032795</v>
      </c>
    </row>
    <row r="76" spans="1:19" x14ac:dyDescent="0.35">
      <c r="A76" t="s">
        <v>217</v>
      </c>
      <c r="B76" t="s">
        <v>217</v>
      </c>
      <c r="C76" t="s">
        <v>218</v>
      </c>
      <c r="D76" t="s">
        <v>27</v>
      </c>
      <c r="E76">
        <v>7372</v>
      </c>
      <c r="F76" t="s">
        <v>20</v>
      </c>
      <c r="G76" s="1">
        <v>45638</v>
      </c>
      <c r="H76" s="1">
        <v>45638</v>
      </c>
      <c r="I76" t="b">
        <v>0</v>
      </c>
      <c r="J76">
        <v>131.33000000000001</v>
      </c>
      <c r="K76" s="1">
        <v>45793</v>
      </c>
      <c r="L76">
        <v>54.17</v>
      </c>
      <c r="M76" s="1">
        <v>46155</v>
      </c>
      <c r="N76">
        <v>74.034999999999997</v>
      </c>
      <c r="O76" s="1">
        <v>46204</v>
      </c>
      <c r="P76">
        <v>387</v>
      </c>
      <c r="Q76" t="s">
        <v>21</v>
      </c>
      <c r="R76" t="str">
        <f t="shared" si="2"/>
        <v>has not made new highs</v>
      </c>
      <c r="S76" s="15">
        <f t="shared" si="3"/>
        <v>1.4244046520214142</v>
      </c>
    </row>
    <row r="77" spans="1:19" x14ac:dyDescent="0.35">
      <c r="A77" t="s">
        <v>219</v>
      </c>
      <c r="B77" t="s">
        <v>219</v>
      </c>
      <c r="C77" t="s">
        <v>220</v>
      </c>
      <c r="D77" t="s">
        <v>84</v>
      </c>
      <c r="G77" s="1">
        <v>45210</v>
      </c>
      <c r="H77" s="1">
        <v>45210</v>
      </c>
      <c r="I77" t="b">
        <v>0</v>
      </c>
      <c r="J77">
        <v>64.78</v>
      </c>
      <c r="K77" s="1">
        <v>45530</v>
      </c>
      <c r="L77">
        <v>31.12</v>
      </c>
      <c r="M77" s="1">
        <v>46157</v>
      </c>
      <c r="N77">
        <v>44.03</v>
      </c>
      <c r="O77" s="1">
        <v>46204</v>
      </c>
      <c r="P77">
        <v>682</v>
      </c>
      <c r="Q77" t="s">
        <v>21</v>
      </c>
      <c r="R77" t="str">
        <f t="shared" si="2"/>
        <v>has not made new highs</v>
      </c>
      <c r="S77" s="15">
        <f t="shared" si="3"/>
        <v>1.0816195372750641</v>
      </c>
    </row>
    <row r="78" spans="1:19" x14ac:dyDescent="0.35">
      <c r="A78" t="s">
        <v>221</v>
      </c>
      <c r="B78" t="s">
        <v>222</v>
      </c>
      <c r="C78" t="s">
        <v>223</v>
      </c>
      <c r="D78" t="s">
        <v>127</v>
      </c>
      <c r="E78">
        <v>4813</v>
      </c>
      <c r="F78" t="s">
        <v>224</v>
      </c>
      <c r="G78" s="1">
        <v>44320</v>
      </c>
      <c r="H78" s="1">
        <v>44379</v>
      </c>
      <c r="I78" t="b">
        <v>1</v>
      </c>
      <c r="J78">
        <v>39.21</v>
      </c>
      <c r="K78" s="1">
        <v>45539</v>
      </c>
      <c r="L78">
        <v>11.6501</v>
      </c>
      <c r="M78" s="1">
        <v>45124</v>
      </c>
      <c r="N78">
        <v>38.49</v>
      </c>
      <c r="O78" s="1">
        <v>46038</v>
      </c>
      <c r="P78">
        <v>1141</v>
      </c>
      <c r="Q78" t="s">
        <v>21</v>
      </c>
      <c r="R78" t="str">
        <f t="shared" si="2"/>
        <v>has made new highs</v>
      </c>
      <c r="S78" s="15">
        <f t="shared" si="3"/>
        <v>2.3656363464691288</v>
      </c>
    </row>
    <row r="79" spans="1:19" x14ac:dyDescent="0.35">
      <c r="A79" t="s">
        <v>225</v>
      </c>
      <c r="B79" t="s">
        <v>225</v>
      </c>
      <c r="C79" t="s">
        <v>226</v>
      </c>
      <c r="D79" t="s">
        <v>37</v>
      </c>
      <c r="E79">
        <v>5812</v>
      </c>
      <c r="F79" t="s">
        <v>227</v>
      </c>
      <c r="G79" s="1">
        <v>45092</v>
      </c>
      <c r="H79" s="1">
        <v>45092</v>
      </c>
      <c r="I79" t="b">
        <v>0</v>
      </c>
      <c r="J79">
        <v>172.4299</v>
      </c>
      <c r="K79" s="1">
        <v>45609</v>
      </c>
      <c r="L79">
        <v>29.05</v>
      </c>
      <c r="M79" s="1">
        <v>45203</v>
      </c>
      <c r="N79">
        <v>79.78</v>
      </c>
      <c r="O79" s="1">
        <v>46204</v>
      </c>
      <c r="P79">
        <v>763</v>
      </c>
      <c r="Q79" t="s">
        <v>21</v>
      </c>
      <c r="R79" t="str">
        <f t="shared" si="2"/>
        <v>has made new highs</v>
      </c>
      <c r="S79" s="15">
        <f t="shared" si="3"/>
        <v>4.9356247848537</v>
      </c>
    </row>
    <row r="80" spans="1:19" x14ac:dyDescent="0.35">
      <c r="A80" t="s">
        <v>228</v>
      </c>
      <c r="B80" t="s">
        <v>228</v>
      </c>
      <c r="C80" t="s">
        <v>229</v>
      </c>
      <c r="D80" t="s">
        <v>27</v>
      </c>
      <c r="E80">
        <v>7372</v>
      </c>
      <c r="F80" t="s">
        <v>20</v>
      </c>
      <c r="G80" s="1">
        <v>45189</v>
      </c>
      <c r="H80" s="1">
        <v>45189</v>
      </c>
      <c r="I80" t="b">
        <v>0</v>
      </c>
      <c r="J80">
        <v>49.55</v>
      </c>
      <c r="K80" s="1">
        <v>45699</v>
      </c>
      <c r="L80">
        <v>12.53</v>
      </c>
      <c r="M80" s="1">
        <v>46195</v>
      </c>
      <c r="N80">
        <v>16.36</v>
      </c>
      <c r="O80" s="1">
        <v>46204</v>
      </c>
      <c r="P80">
        <v>697</v>
      </c>
      <c r="Q80" t="s">
        <v>21</v>
      </c>
      <c r="R80" t="str">
        <f t="shared" si="2"/>
        <v>has not made new highs</v>
      </c>
      <c r="S80" s="15">
        <f t="shared" si="3"/>
        <v>2.9545091779728652</v>
      </c>
    </row>
    <row r="81" spans="1:19" x14ac:dyDescent="0.35">
      <c r="A81" t="s">
        <v>230</v>
      </c>
      <c r="B81" t="s">
        <v>230</v>
      </c>
      <c r="C81" t="s">
        <v>231</v>
      </c>
      <c r="D81" t="s">
        <v>84</v>
      </c>
      <c r="E81">
        <v>7373</v>
      </c>
      <c r="F81" t="s">
        <v>102</v>
      </c>
      <c r="G81" s="1">
        <v>44504</v>
      </c>
      <c r="H81" s="1">
        <v>44504</v>
      </c>
      <c r="I81" t="b">
        <v>0</v>
      </c>
      <c r="J81">
        <v>17.770299999999999</v>
      </c>
      <c r="K81" s="1">
        <v>44519</v>
      </c>
      <c r="L81">
        <v>1.1000000000000001</v>
      </c>
      <c r="M81" s="1">
        <v>44922</v>
      </c>
      <c r="N81">
        <v>7.07</v>
      </c>
      <c r="O81" s="1">
        <v>46204</v>
      </c>
      <c r="P81">
        <v>1167</v>
      </c>
      <c r="Q81" t="s">
        <v>21</v>
      </c>
      <c r="R81" t="str">
        <f t="shared" si="2"/>
        <v>has not made new highs</v>
      </c>
      <c r="S81" s="15">
        <f t="shared" si="3"/>
        <v>15.154818181818179</v>
      </c>
    </row>
    <row r="82" spans="1:19" x14ac:dyDescent="0.35">
      <c r="A82" t="s">
        <v>232</v>
      </c>
      <c r="B82" t="s">
        <v>232</v>
      </c>
      <c r="C82" t="s">
        <v>233</v>
      </c>
      <c r="D82" t="s">
        <v>68</v>
      </c>
      <c r="G82" s="1">
        <v>44393</v>
      </c>
      <c r="H82" s="1">
        <v>44393</v>
      </c>
      <c r="I82" t="b">
        <v>0</v>
      </c>
      <c r="J82">
        <v>83.6</v>
      </c>
      <c r="K82" s="1">
        <v>45824</v>
      </c>
      <c r="L82">
        <v>7.9699999999999993E-2</v>
      </c>
      <c r="M82" s="1">
        <v>45495</v>
      </c>
      <c r="N82">
        <v>8.0299999999999994</v>
      </c>
      <c r="O82" s="1">
        <v>46204</v>
      </c>
      <c r="P82">
        <v>1087</v>
      </c>
      <c r="Q82" t="s">
        <v>21</v>
      </c>
      <c r="R82" t="str">
        <f t="shared" si="2"/>
        <v>has made new highs</v>
      </c>
      <c r="S82" s="15">
        <f t="shared" si="3"/>
        <v>1047.9335006273525</v>
      </c>
    </row>
    <row r="83" spans="1:19" x14ac:dyDescent="0.35">
      <c r="A83" t="s">
        <v>234</v>
      </c>
      <c r="B83" t="s">
        <v>234</v>
      </c>
      <c r="C83" t="s">
        <v>235</v>
      </c>
      <c r="D83" t="s">
        <v>30</v>
      </c>
      <c r="E83">
        <v>3812</v>
      </c>
      <c r="F83" t="s">
        <v>183</v>
      </c>
      <c r="G83" s="1">
        <v>44966</v>
      </c>
      <c r="H83" s="1">
        <v>44966</v>
      </c>
      <c r="I83" t="b">
        <v>0</v>
      </c>
      <c r="J83">
        <v>163.13</v>
      </c>
      <c r="K83" s="1">
        <v>46171</v>
      </c>
      <c r="L83">
        <v>28.240100000000002</v>
      </c>
      <c r="M83" s="1">
        <v>45002</v>
      </c>
      <c r="N83">
        <v>116.15</v>
      </c>
      <c r="O83" s="1">
        <v>46204</v>
      </c>
      <c r="P83">
        <v>850</v>
      </c>
      <c r="Q83" t="s">
        <v>21</v>
      </c>
      <c r="R83" t="str">
        <f t="shared" si="2"/>
        <v>has made new highs</v>
      </c>
      <c r="S83" s="15">
        <f t="shared" si="3"/>
        <v>4.7765376184928519</v>
      </c>
    </row>
    <row r="84" spans="1:19" x14ac:dyDescent="0.35">
      <c r="A84" t="s">
        <v>236</v>
      </c>
      <c r="B84" t="s">
        <v>237</v>
      </c>
      <c r="C84" t="s">
        <v>238</v>
      </c>
      <c r="D84" t="s">
        <v>27</v>
      </c>
      <c r="E84">
        <v>7372</v>
      </c>
      <c r="F84" t="s">
        <v>20</v>
      </c>
      <c r="G84" s="1">
        <v>44496</v>
      </c>
      <c r="H84" s="1">
        <v>44496</v>
      </c>
      <c r="I84" t="b">
        <v>0</v>
      </c>
      <c r="J84">
        <v>40.130000000000003</v>
      </c>
      <c r="K84" s="1">
        <v>44546</v>
      </c>
      <c r="L84">
        <v>13.29</v>
      </c>
      <c r="M84" s="1">
        <v>45050</v>
      </c>
      <c r="N84">
        <v>24.79</v>
      </c>
      <c r="O84" s="1">
        <v>45978</v>
      </c>
      <c r="P84">
        <v>1019</v>
      </c>
      <c r="Q84" t="s">
        <v>21</v>
      </c>
      <c r="R84" t="str">
        <f t="shared" si="2"/>
        <v>has not made new highs</v>
      </c>
      <c r="S84" s="15">
        <f t="shared" si="3"/>
        <v>2.0195635816403317</v>
      </c>
    </row>
    <row r="85" spans="1:19" x14ac:dyDescent="0.35">
      <c r="A85" t="s">
        <v>239</v>
      </c>
      <c r="B85" t="s">
        <v>239</v>
      </c>
      <c r="C85" t="s">
        <v>240</v>
      </c>
      <c r="D85" t="s">
        <v>37</v>
      </c>
      <c r="G85" s="1">
        <v>44453</v>
      </c>
      <c r="H85" s="1">
        <v>44453</v>
      </c>
      <c r="I85" t="b">
        <v>0</v>
      </c>
      <c r="J85">
        <v>32.22</v>
      </c>
      <c r="K85" s="1">
        <v>45894</v>
      </c>
      <c r="L85">
        <v>7.1</v>
      </c>
      <c r="M85" s="1">
        <v>44755</v>
      </c>
      <c r="N85">
        <v>15.12</v>
      </c>
      <c r="O85" s="1">
        <v>46204</v>
      </c>
      <c r="P85">
        <v>1204</v>
      </c>
      <c r="Q85" t="s">
        <v>21</v>
      </c>
      <c r="R85" t="str">
        <f t="shared" si="2"/>
        <v>has made new highs</v>
      </c>
      <c r="S85" s="15">
        <f t="shared" si="3"/>
        <v>3.5380281690140842</v>
      </c>
    </row>
    <row r="86" spans="1:19" x14ac:dyDescent="0.35">
      <c r="A86" t="s">
        <v>241</v>
      </c>
      <c r="B86" t="s">
        <v>241</v>
      </c>
      <c r="C86" t="s">
        <v>242</v>
      </c>
      <c r="D86" t="s">
        <v>30</v>
      </c>
      <c r="E86">
        <v>3728</v>
      </c>
      <c r="F86" t="s">
        <v>243</v>
      </c>
      <c r="G86" s="1">
        <v>45407</v>
      </c>
      <c r="H86" s="1">
        <v>45407</v>
      </c>
      <c r="I86" t="b">
        <v>0</v>
      </c>
      <c r="J86">
        <v>99.67</v>
      </c>
      <c r="K86" s="1">
        <v>45789</v>
      </c>
      <c r="L86">
        <v>42.57</v>
      </c>
      <c r="M86" s="1">
        <v>45407</v>
      </c>
      <c r="N86">
        <v>80.260000000000005</v>
      </c>
      <c r="O86" s="1">
        <v>46204</v>
      </c>
      <c r="P86">
        <v>547</v>
      </c>
      <c r="Q86" t="s">
        <v>21</v>
      </c>
      <c r="R86" t="str">
        <f t="shared" si="2"/>
        <v>has made new highs</v>
      </c>
      <c r="S86" s="15">
        <f t="shared" si="3"/>
        <v>1.3413201785294808</v>
      </c>
    </row>
    <row r="87" spans="1:19" x14ac:dyDescent="0.35">
      <c r="A87" t="s">
        <v>244</v>
      </c>
      <c r="B87" t="s">
        <v>244</v>
      </c>
      <c r="C87" t="s">
        <v>245</v>
      </c>
      <c r="D87" t="s">
        <v>27</v>
      </c>
      <c r="G87" s="1">
        <v>44358</v>
      </c>
      <c r="H87" s="1">
        <v>44379</v>
      </c>
      <c r="I87" t="b">
        <v>1</v>
      </c>
      <c r="J87">
        <v>43.219900000000003</v>
      </c>
      <c r="K87" s="1">
        <v>44540</v>
      </c>
      <c r="L87">
        <v>9.7449999999999992</v>
      </c>
      <c r="M87" s="1">
        <v>44858</v>
      </c>
      <c r="N87">
        <v>13.48</v>
      </c>
      <c r="O87" s="1">
        <v>46204</v>
      </c>
      <c r="P87">
        <v>1254</v>
      </c>
      <c r="Q87" t="s">
        <v>21</v>
      </c>
      <c r="R87" t="str">
        <f t="shared" si="2"/>
        <v>has not made new highs</v>
      </c>
      <c r="S87" s="15">
        <f t="shared" si="3"/>
        <v>3.4350846587993851</v>
      </c>
    </row>
    <row r="88" spans="1:19" x14ac:dyDescent="0.35">
      <c r="A88" t="s">
        <v>246</v>
      </c>
      <c r="B88" t="s">
        <v>247</v>
      </c>
      <c r="C88" t="s">
        <v>248</v>
      </c>
      <c r="D88" t="s">
        <v>27</v>
      </c>
      <c r="E88">
        <v>7372</v>
      </c>
      <c r="F88" t="s">
        <v>20</v>
      </c>
      <c r="G88" s="1">
        <v>44371</v>
      </c>
      <c r="H88" s="1">
        <v>44379</v>
      </c>
      <c r="I88" t="b">
        <v>1</v>
      </c>
      <c r="J88">
        <v>94.97</v>
      </c>
      <c r="K88" s="1">
        <v>44505</v>
      </c>
      <c r="L88">
        <v>14.69</v>
      </c>
      <c r="M88" s="1">
        <v>45232</v>
      </c>
      <c r="N88">
        <v>30.99</v>
      </c>
      <c r="O88" s="1">
        <v>46097</v>
      </c>
      <c r="P88">
        <v>1180</v>
      </c>
      <c r="Q88" t="s">
        <v>21</v>
      </c>
      <c r="R88" t="str">
        <f t="shared" si="2"/>
        <v>has not made new highs</v>
      </c>
      <c r="S88" s="15">
        <f t="shared" si="3"/>
        <v>5.4649421375085092</v>
      </c>
    </row>
    <row r="89" spans="1:19" x14ac:dyDescent="0.35">
      <c r="A89" t="s">
        <v>249</v>
      </c>
      <c r="B89" t="s">
        <v>249</v>
      </c>
      <c r="C89" t="s">
        <v>250</v>
      </c>
      <c r="D89" t="s">
        <v>19</v>
      </c>
      <c r="E89">
        <v>4911</v>
      </c>
      <c r="F89" t="s">
        <v>42</v>
      </c>
      <c r="G89" s="1">
        <v>45422</v>
      </c>
      <c r="H89" s="1">
        <v>45422</v>
      </c>
      <c r="I89" t="b">
        <v>0</v>
      </c>
      <c r="J89">
        <v>193.84</v>
      </c>
      <c r="K89" s="1">
        <v>45945</v>
      </c>
      <c r="L89">
        <v>5.35</v>
      </c>
      <c r="M89" s="1">
        <v>45544</v>
      </c>
      <c r="N89">
        <v>52.45</v>
      </c>
      <c r="O89" s="1">
        <v>46204</v>
      </c>
      <c r="P89">
        <v>536</v>
      </c>
      <c r="Q89" t="s">
        <v>21</v>
      </c>
      <c r="R89" t="str">
        <f t="shared" si="2"/>
        <v>has made new highs</v>
      </c>
      <c r="S89" s="15">
        <f t="shared" si="3"/>
        <v>35.231775700934584</v>
      </c>
    </row>
    <row r="90" spans="1:19" x14ac:dyDescent="0.35">
      <c r="A90" t="s">
        <v>251</v>
      </c>
      <c r="B90" t="s">
        <v>251</v>
      </c>
      <c r="C90" t="s">
        <v>252</v>
      </c>
      <c r="D90" t="s">
        <v>68</v>
      </c>
      <c r="E90">
        <v>2834</v>
      </c>
      <c r="F90" t="s">
        <v>157</v>
      </c>
      <c r="G90" s="1">
        <v>44470</v>
      </c>
      <c r="H90" s="1">
        <v>44470</v>
      </c>
      <c r="I90" t="b">
        <v>0</v>
      </c>
      <c r="J90">
        <v>35.9</v>
      </c>
      <c r="K90" s="1">
        <v>46203</v>
      </c>
      <c r="L90">
        <v>2.52</v>
      </c>
      <c r="M90" s="1">
        <v>44693</v>
      </c>
      <c r="N90">
        <v>35.03</v>
      </c>
      <c r="O90" s="1">
        <v>46204</v>
      </c>
      <c r="P90">
        <v>1191</v>
      </c>
      <c r="Q90" t="s">
        <v>21</v>
      </c>
      <c r="R90" t="str">
        <f t="shared" si="2"/>
        <v>has made new highs</v>
      </c>
      <c r="S90" s="15">
        <f t="shared" si="3"/>
        <v>13.246031746031743</v>
      </c>
    </row>
    <row r="91" spans="1:19" x14ac:dyDescent="0.35">
      <c r="A91" t="s">
        <v>253</v>
      </c>
      <c r="B91" t="s">
        <v>253</v>
      </c>
      <c r="C91" t="s">
        <v>254</v>
      </c>
      <c r="D91" t="s">
        <v>64</v>
      </c>
      <c r="E91">
        <v>2000</v>
      </c>
      <c r="F91" t="s">
        <v>255</v>
      </c>
      <c r="G91" s="1">
        <v>43755</v>
      </c>
      <c r="H91" s="1">
        <v>44379</v>
      </c>
      <c r="I91" t="b">
        <v>1</v>
      </c>
      <c r="J91">
        <v>80.67</v>
      </c>
      <c r="K91" s="1">
        <v>45687</v>
      </c>
      <c r="L91">
        <v>7.82</v>
      </c>
      <c r="M91" s="1">
        <v>46181</v>
      </c>
      <c r="N91">
        <v>13.35</v>
      </c>
      <c r="O91" s="1">
        <v>46204</v>
      </c>
      <c r="P91">
        <v>1254</v>
      </c>
      <c r="Q91" t="s">
        <v>21</v>
      </c>
      <c r="R91" t="str">
        <f t="shared" si="2"/>
        <v>has not made new highs</v>
      </c>
      <c r="S91" s="15">
        <f t="shared" si="3"/>
        <v>9.3158567774936056</v>
      </c>
    </row>
    <row r="92" spans="1:19" x14ac:dyDescent="0.35">
      <c r="A92" t="s">
        <v>256</v>
      </c>
      <c r="B92" t="s">
        <v>256</v>
      </c>
      <c r="C92" t="s">
        <v>257</v>
      </c>
      <c r="D92" t="s">
        <v>27</v>
      </c>
      <c r="E92">
        <v>7372</v>
      </c>
      <c r="F92" t="s">
        <v>20</v>
      </c>
      <c r="G92" s="1">
        <v>44483</v>
      </c>
      <c r="H92" s="1">
        <v>44483</v>
      </c>
      <c r="I92" t="b">
        <v>0</v>
      </c>
      <c r="J92">
        <v>137</v>
      </c>
      <c r="K92" s="1">
        <v>44509</v>
      </c>
      <c r="L92">
        <v>18.73</v>
      </c>
      <c r="M92" s="1">
        <v>46122</v>
      </c>
      <c r="N92">
        <v>31.53</v>
      </c>
      <c r="O92" s="1">
        <v>46204</v>
      </c>
      <c r="P92">
        <v>1182</v>
      </c>
      <c r="Q92" t="s">
        <v>21</v>
      </c>
      <c r="R92" t="str">
        <f t="shared" si="2"/>
        <v>has not made new highs</v>
      </c>
      <c r="S92" s="15">
        <f t="shared" si="3"/>
        <v>6.3144687666844632</v>
      </c>
    </row>
    <row r="93" spans="1:19" x14ac:dyDescent="0.35">
      <c r="A93" t="s">
        <v>258</v>
      </c>
      <c r="B93" t="s">
        <v>258</v>
      </c>
      <c r="C93" t="s">
        <v>259</v>
      </c>
      <c r="D93" t="s">
        <v>30</v>
      </c>
      <c r="E93">
        <v>3569</v>
      </c>
      <c r="F93" t="s">
        <v>108</v>
      </c>
      <c r="G93" s="1">
        <v>44641</v>
      </c>
      <c r="H93" s="1">
        <v>44656</v>
      </c>
      <c r="I93" t="b">
        <v>1</v>
      </c>
      <c r="J93">
        <v>137.41999999999999</v>
      </c>
      <c r="K93" s="1">
        <v>46065</v>
      </c>
      <c r="L93">
        <v>32.119999999999997</v>
      </c>
      <c r="M93" s="1">
        <v>44845</v>
      </c>
      <c r="N93">
        <v>93.69</v>
      </c>
      <c r="O93" s="1">
        <v>46204</v>
      </c>
      <c r="P93">
        <v>1063</v>
      </c>
      <c r="Q93" t="s">
        <v>21</v>
      </c>
      <c r="R93" t="str">
        <f t="shared" si="2"/>
        <v>has made new highs</v>
      </c>
      <c r="S93" s="15">
        <f t="shared" si="3"/>
        <v>3.2783312577833121</v>
      </c>
    </row>
    <row r="94" spans="1:19" x14ac:dyDescent="0.35">
      <c r="A94" t="s">
        <v>260</v>
      </c>
      <c r="B94" t="s">
        <v>260</v>
      </c>
      <c r="C94" t="s">
        <v>261</v>
      </c>
      <c r="D94" t="s">
        <v>37</v>
      </c>
      <c r="G94" s="1">
        <v>45142</v>
      </c>
      <c r="H94" s="1">
        <v>45142</v>
      </c>
      <c r="I94" t="b">
        <v>0</v>
      </c>
      <c r="J94">
        <v>108.56</v>
      </c>
      <c r="K94" s="1">
        <v>46204</v>
      </c>
      <c r="L94">
        <v>29.63</v>
      </c>
      <c r="M94" s="1">
        <v>45142</v>
      </c>
      <c r="N94">
        <v>107.27</v>
      </c>
      <c r="O94" s="1">
        <v>46204</v>
      </c>
      <c r="P94">
        <v>729</v>
      </c>
      <c r="Q94" t="s">
        <v>21</v>
      </c>
      <c r="R94" t="str">
        <f t="shared" si="2"/>
        <v>has made new highs</v>
      </c>
      <c r="S94" s="15">
        <f t="shared" si="3"/>
        <v>2.6638542018224776</v>
      </c>
    </row>
    <row r="95" spans="1:19" x14ac:dyDescent="0.35">
      <c r="A95" t="s">
        <v>262</v>
      </c>
      <c r="B95" t="s">
        <v>262</v>
      </c>
      <c r="C95" t="s">
        <v>263</v>
      </c>
      <c r="D95" t="s">
        <v>45</v>
      </c>
      <c r="G95" s="1">
        <v>44497</v>
      </c>
      <c r="H95" s="1">
        <v>44497</v>
      </c>
      <c r="I95" t="b">
        <v>0</v>
      </c>
      <c r="J95">
        <v>38.32</v>
      </c>
      <c r="K95" s="1">
        <v>44557</v>
      </c>
      <c r="L95">
        <v>22</v>
      </c>
      <c r="M95" s="1">
        <v>44747</v>
      </c>
      <c r="N95">
        <v>23.85</v>
      </c>
      <c r="O95" s="1">
        <v>46204</v>
      </c>
      <c r="P95">
        <v>1172</v>
      </c>
      <c r="Q95" t="s">
        <v>21</v>
      </c>
      <c r="R95" t="str">
        <f t="shared" si="2"/>
        <v>has not made new highs</v>
      </c>
      <c r="S95" s="15">
        <f t="shared" si="3"/>
        <v>0.74181818181818182</v>
      </c>
    </row>
    <row r="96" spans="1:19" x14ac:dyDescent="0.35">
      <c r="A96" t="s">
        <v>264</v>
      </c>
      <c r="B96" t="s">
        <v>264</v>
      </c>
      <c r="C96" t="s">
        <v>265</v>
      </c>
      <c r="D96" t="s">
        <v>30</v>
      </c>
      <c r="E96">
        <v>3721</v>
      </c>
      <c r="F96" t="s">
        <v>266</v>
      </c>
      <c r="G96" s="1">
        <v>44419</v>
      </c>
      <c r="H96" s="1">
        <v>44419</v>
      </c>
      <c r="I96" t="b">
        <v>0</v>
      </c>
      <c r="J96">
        <v>20.95</v>
      </c>
      <c r="K96" s="1">
        <v>45873</v>
      </c>
      <c r="L96">
        <v>3.15</v>
      </c>
      <c r="M96" s="1">
        <v>44922</v>
      </c>
      <c r="N96">
        <v>8.84</v>
      </c>
      <c r="O96" s="1">
        <v>46204</v>
      </c>
      <c r="P96">
        <v>1227</v>
      </c>
      <c r="Q96" t="s">
        <v>21</v>
      </c>
      <c r="R96" t="str">
        <f t="shared" si="2"/>
        <v>has made new highs</v>
      </c>
      <c r="S96" s="15">
        <f t="shared" si="3"/>
        <v>5.6507936507936511</v>
      </c>
    </row>
    <row r="97" spans="1:19" x14ac:dyDescent="0.35">
      <c r="A97" t="s">
        <v>267</v>
      </c>
      <c r="B97" t="s">
        <v>267</v>
      </c>
      <c r="C97" t="s">
        <v>268</v>
      </c>
      <c r="D97" t="s">
        <v>27</v>
      </c>
      <c r="E97">
        <v>7372</v>
      </c>
      <c r="F97" t="s">
        <v>20</v>
      </c>
      <c r="G97" s="1">
        <v>44307</v>
      </c>
      <c r="H97" s="1">
        <v>44379</v>
      </c>
      <c r="I97" t="b">
        <v>1</v>
      </c>
      <c r="J97">
        <v>69.599999999999994</v>
      </c>
      <c r="K97" s="1">
        <v>44386</v>
      </c>
      <c r="L97">
        <v>9.2002000000000006</v>
      </c>
      <c r="M97" s="1">
        <v>46156</v>
      </c>
      <c r="N97">
        <v>11.55</v>
      </c>
      <c r="O97" s="1">
        <v>46204</v>
      </c>
      <c r="P97">
        <v>1254</v>
      </c>
      <c r="Q97" t="s">
        <v>21</v>
      </c>
      <c r="R97" t="str">
        <f t="shared" si="2"/>
        <v>has not made new highs</v>
      </c>
      <c r="S97" s="15">
        <f t="shared" si="3"/>
        <v>6.5650529336318764</v>
      </c>
    </row>
    <row r="98" spans="1:19" x14ac:dyDescent="0.35">
      <c r="A98" t="s">
        <v>269</v>
      </c>
      <c r="B98" t="s">
        <v>269</v>
      </c>
      <c r="C98" t="s">
        <v>270</v>
      </c>
      <c r="D98" t="s">
        <v>68</v>
      </c>
      <c r="E98">
        <v>7373</v>
      </c>
      <c r="F98" t="s">
        <v>102</v>
      </c>
      <c r="G98" s="1">
        <v>45450</v>
      </c>
      <c r="H98" s="1">
        <v>45450</v>
      </c>
      <c r="I98" t="b">
        <v>0</v>
      </c>
      <c r="J98">
        <v>48.11</v>
      </c>
      <c r="K98" s="1">
        <v>45706</v>
      </c>
      <c r="L98">
        <v>17.260000000000002</v>
      </c>
      <c r="M98" s="1">
        <v>46195</v>
      </c>
      <c r="N98">
        <v>21.43</v>
      </c>
      <c r="O98" s="1">
        <v>46204</v>
      </c>
      <c r="P98">
        <v>517</v>
      </c>
      <c r="Q98" t="s">
        <v>21</v>
      </c>
      <c r="R98" t="str">
        <f t="shared" si="2"/>
        <v>has not made new highs</v>
      </c>
      <c r="S98" s="15">
        <f t="shared" si="3"/>
        <v>1.7873696407879487</v>
      </c>
    </row>
    <row r="99" spans="1:19" x14ac:dyDescent="0.35">
      <c r="A99" t="s">
        <v>271</v>
      </c>
      <c r="B99" t="s">
        <v>271</v>
      </c>
      <c r="C99" t="s">
        <v>272</v>
      </c>
      <c r="D99" t="s">
        <v>68</v>
      </c>
      <c r="G99" s="1">
        <v>44393</v>
      </c>
      <c r="H99" s="1">
        <v>44393</v>
      </c>
      <c r="I99" t="b">
        <v>0</v>
      </c>
      <c r="J99">
        <v>36.299999999999997</v>
      </c>
      <c r="K99" s="1">
        <v>45147</v>
      </c>
      <c r="L99">
        <v>12.89</v>
      </c>
      <c r="M99" s="1">
        <v>46108</v>
      </c>
      <c r="N99">
        <v>18.34</v>
      </c>
      <c r="O99" s="1">
        <v>46204</v>
      </c>
      <c r="P99">
        <v>1245</v>
      </c>
      <c r="Q99" t="s">
        <v>21</v>
      </c>
      <c r="R99" t="str">
        <f t="shared" si="2"/>
        <v>has not made new highs</v>
      </c>
      <c r="S99" s="15">
        <f t="shared" si="3"/>
        <v>1.8161365399534519</v>
      </c>
    </row>
    <row r="100" spans="1:19" x14ac:dyDescent="0.35">
      <c r="A100" t="s">
        <v>273</v>
      </c>
      <c r="B100" t="s">
        <v>273</v>
      </c>
      <c r="C100" t="s">
        <v>274</v>
      </c>
      <c r="D100" t="s">
        <v>30</v>
      </c>
      <c r="E100">
        <v>3721</v>
      </c>
      <c r="F100" t="s">
        <v>266</v>
      </c>
      <c r="G100" s="1">
        <v>44456</v>
      </c>
      <c r="H100" s="1">
        <v>44456</v>
      </c>
      <c r="I100" t="b">
        <v>0</v>
      </c>
      <c r="J100">
        <v>14.62</v>
      </c>
      <c r="K100" s="1">
        <v>45945</v>
      </c>
      <c r="L100">
        <v>1.62</v>
      </c>
      <c r="M100" s="1">
        <v>44922</v>
      </c>
      <c r="N100">
        <v>4.92</v>
      </c>
      <c r="O100" s="1">
        <v>46204</v>
      </c>
      <c r="P100">
        <v>1201</v>
      </c>
      <c r="Q100" t="s">
        <v>21</v>
      </c>
      <c r="R100" t="str">
        <f t="shared" si="2"/>
        <v>has made new highs</v>
      </c>
      <c r="S100" s="15">
        <f t="shared" si="3"/>
        <v>8.0246913580246915</v>
      </c>
    </row>
    <row r="101" spans="1:19" x14ac:dyDescent="0.35">
      <c r="A101" t="s">
        <v>275</v>
      </c>
      <c r="B101" t="s">
        <v>276</v>
      </c>
      <c r="C101" t="s">
        <v>277</v>
      </c>
      <c r="D101" t="s">
        <v>27</v>
      </c>
      <c r="E101">
        <v>7372</v>
      </c>
      <c r="F101" t="s">
        <v>20</v>
      </c>
      <c r="G101" s="1">
        <v>45497</v>
      </c>
      <c r="H101" s="1">
        <v>45497</v>
      </c>
      <c r="I101" t="b">
        <v>0</v>
      </c>
      <c r="J101">
        <v>35.39</v>
      </c>
      <c r="K101" s="1">
        <v>45607</v>
      </c>
      <c r="L101">
        <v>16.510000000000002</v>
      </c>
      <c r="M101" s="1">
        <v>45946</v>
      </c>
      <c r="N101">
        <v>24</v>
      </c>
      <c r="O101" s="1">
        <v>46112</v>
      </c>
      <c r="P101">
        <v>423</v>
      </c>
      <c r="Q101" t="s">
        <v>21</v>
      </c>
      <c r="R101" t="str">
        <f t="shared" si="2"/>
        <v>has not made new highs</v>
      </c>
      <c r="S101" s="15">
        <f t="shared" si="3"/>
        <v>1.1435493640218048</v>
      </c>
    </row>
    <row r="102" spans="1:19" x14ac:dyDescent="0.35">
      <c r="A102" t="s">
        <v>278</v>
      </c>
      <c r="B102" t="s">
        <v>279</v>
      </c>
      <c r="C102" t="s">
        <v>280</v>
      </c>
      <c r="D102" t="s">
        <v>84</v>
      </c>
      <c r="G102" s="1">
        <v>45422</v>
      </c>
      <c r="H102" s="1">
        <v>45422</v>
      </c>
      <c r="I102" t="b">
        <v>0</v>
      </c>
      <c r="J102">
        <v>33.3185</v>
      </c>
      <c r="K102" s="1">
        <v>45727</v>
      </c>
      <c r="L102">
        <v>13</v>
      </c>
      <c r="M102" s="1">
        <v>45516</v>
      </c>
      <c r="N102">
        <v>26.73</v>
      </c>
      <c r="O102" s="1">
        <v>46010</v>
      </c>
      <c r="P102">
        <v>405</v>
      </c>
      <c r="Q102" t="s">
        <v>21</v>
      </c>
      <c r="R102" t="str">
        <f t="shared" si="2"/>
        <v>has made new highs</v>
      </c>
      <c r="S102" s="15">
        <f t="shared" si="3"/>
        <v>1.5629615384615385</v>
      </c>
    </row>
    <row r="103" spans="1:19" x14ac:dyDescent="0.35">
      <c r="A103" t="s">
        <v>281</v>
      </c>
      <c r="B103" t="s">
        <v>281</v>
      </c>
      <c r="C103" t="s">
        <v>282</v>
      </c>
      <c r="D103" t="s">
        <v>45</v>
      </c>
      <c r="E103">
        <v>6282</v>
      </c>
      <c r="F103" t="s">
        <v>49</v>
      </c>
      <c r="G103" s="1">
        <v>44090</v>
      </c>
      <c r="H103" s="1">
        <v>44379</v>
      </c>
      <c r="I103" t="b">
        <v>1</v>
      </c>
      <c r="J103">
        <v>77.795000000000002</v>
      </c>
      <c r="K103" s="1">
        <v>46038</v>
      </c>
      <c r="L103">
        <v>19.829999999999998</v>
      </c>
      <c r="M103" s="1">
        <v>45071</v>
      </c>
      <c r="N103">
        <v>40.655000000000001</v>
      </c>
      <c r="O103" s="1">
        <v>46204</v>
      </c>
      <c r="P103">
        <v>1254</v>
      </c>
      <c r="Q103" t="s">
        <v>21</v>
      </c>
      <c r="R103" t="str">
        <f t="shared" si="2"/>
        <v>has made new highs</v>
      </c>
      <c r="S103" s="15">
        <f t="shared" si="3"/>
        <v>2.9230963187090273</v>
      </c>
    </row>
    <row r="104" spans="1:19" x14ac:dyDescent="0.35">
      <c r="A104" t="s">
        <v>283</v>
      </c>
      <c r="B104" t="s">
        <v>283</v>
      </c>
      <c r="C104" t="s">
        <v>284</v>
      </c>
      <c r="D104" t="s">
        <v>37</v>
      </c>
      <c r="E104">
        <v>7997</v>
      </c>
      <c r="F104" t="s">
        <v>285</v>
      </c>
      <c r="G104" s="1">
        <v>44476</v>
      </c>
      <c r="H104" s="1">
        <v>44476</v>
      </c>
      <c r="I104" t="b">
        <v>0</v>
      </c>
      <c r="J104">
        <v>41.79</v>
      </c>
      <c r="K104" s="1">
        <v>46199</v>
      </c>
      <c r="L104">
        <v>8.75</v>
      </c>
      <c r="M104" s="1">
        <v>44869</v>
      </c>
      <c r="N104">
        <v>40.04</v>
      </c>
      <c r="O104" s="1">
        <v>46204</v>
      </c>
      <c r="P104">
        <v>1187</v>
      </c>
      <c r="Q104" t="s">
        <v>21</v>
      </c>
      <c r="R104" t="str">
        <f t="shared" si="2"/>
        <v>has made new highs</v>
      </c>
      <c r="S104" s="15">
        <f t="shared" si="3"/>
        <v>3.7759999999999998</v>
      </c>
    </row>
    <row r="105" spans="1:19" x14ac:dyDescent="0.35">
      <c r="A105" t="s">
        <v>286</v>
      </c>
      <c r="B105" t="s">
        <v>286</v>
      </c>
      <c r="C105" t="s">
        <v>287</v>
      </c>
      <c r="D105" t="s">
        <v>45</v>
      </c>
      <c r="E105">
        <v>6311</v>
      </c>
      <c r="F105" t="s">
        <v>120</v>
      </c>
      <c r="G105" s="1">
        <v>44440</v>
      </c>
      <c r="H105" s="1">
        <v>44459</v>
      </c>
      <c r="I105" t="b">
        <v>1</v>
      </c>
      <c r="J105">
        <v>123.61</v>
      </c>
      <c r="K105" s="1">
        <v>46056</v>
      </c>
      <c r="L105">
        <v>23.56</v>
      </c>
      <c r="M105" s="1">
        <v>44756</v>
      </c>
      <c r="N105">
        <v>104.53</v>
      </c>
      <c r="O105" s="1">
        <v>46204</v>
      </c>
      <c r="P105">
        <v>1200</v>
      </c>
      <c r="Q105" t="s">
        <v>21</v>
      </c>
      <c r="R105" t="str">
        <f t="shared" si="2"/>
        <v>has made new highs</v>
      </c>
      <c r="S105" s="15">
        <f t="shared" si="3"/>
        <v>4.2466044142614603</v>
      </c>
    </row>
    <row r="106" spans="1:19" x14ac:dyDescent="0.35">
      <c r="A106" t="s">
        <v>288</v>
      </c>
      <c r="B106" t="s">
        <v>288</v>
      </c>
      <c r="C106" t="s">
        <v>289</v>
      </c>
      <c r="D106" t="s">
        <v>27</v>
      </c>
      <c r="E106">
        <v>3674</v>
      </c>
      <c r="F106" t="s">
        <v>149</v>
      </c>
      <c r="G106" s="1">
        <v>44133</v>
      </c>
      <c r="H106" s="1">
        <v>44379</v>
      </c>
      <c r="I106" t="b">
        <v>1</v>
      </c>
      <c r="J106">
        <v>71.77</v>
      </c>
      <c r="K106" s="1">
        <v>46203</v>
      </c>
      <c r="L106">
        <v>16.38</v>
      </c>
      <c r="M106" s="1">
        <v>45768</v>
      </c>
      <c r="N106">
        <v>63.2</v>
      </c>
      <c r="O106" s="1">
        <v>46204</v>
      </c>
      <c r="P106">
        <v>1254</v>
      </c>
      <c r="Q106" t="s">
        <v>21</v>
      </c>
      <c r="R106" t="str">
        <f t="shared" si="2"/>
        <v>has made new highs</v>
      </c>
      <c r="S106" s="15">
        <f t="shared" si="3"/>
        <v>3.381562881562882</v>
      </c>
    </row>
    <row r="107" spans="1:19" x14ac:dyDescent="0.35">
      <c r="A107" t="s">
        <v>290</v>
      </c>
      <c r="B107" t="s">
        <v>290</v>
      </c>
      <c r="C107" t="s">
        <v>291</v>
      </c>
      <c r="D107" t="s">
        <v>45</v>
      </c>
      <c r="E107">
        <v>7372</v>
      </c>
      <c r="F107" t="s">
        <v>20</v>
      </c>
      <c r="G107" s="1">
        <v>44410</v>
      </c>
      <c r="H107" s="1">
        <v>45961</v>
      </c>
      <c r="I107" t="b">
        <v>1</v>
      </c>
      <c r="J107">
        <v>9.44</v>
      </c>
      <c r="K107" s="1">
        <v>45961</v>
      </c>
      <c r="L107">
        <v>4.08</v>
      </c>
      <c r="M107" s="1">
        <v>46155</v>
      </c>
      <c r="N107">
        <v>5.38</v>
      </c>
      <c r="O107" s="1">
        <v>46204</v>
      </c>
      <c r="P107">
        <v>166</v>
      </c>
      <c r="Q107" t="s">
        <v>21</v>
      </c>
      <c r="R107" t="str">
        <f t="shared" si="2"/>
        <v>has not made new highs</v>
      </c>
      <c r="S107" s="15">
        <f t="shared" si="3"/>
        <v>1.3137254901960782</v>
      </c>
    </row>
    <row r="108" spans="1:19" x14ac:dyDescent="0.35">
      <c r="A108" t="s">
        <v>292</v>
      </c>
      <c r="B108" t="s">
        <v>292</v>
      </c>
      <c r="C108" t="s">
        <v>293</v>
      </c>
      <c r="D108" t="s">
        <v>45</v>
      </c>
      <c r="E108">
        <v>6199</v>
      </c>
      <c r="F108" t="s">
        <v>46</v>
      </c>
      <c r="G108" s="1">
        <v>44181</v>
      </c>
      <c r="H108" s="1">
        <v>44379</v>
      </c>
      <c r="I108" t="b">
        <v>1</v>
      </c>
      <c r="J108">
        <v>401.48989999999998</v>
      </c>
      <c r="K108" s="1">
        <v>44484</v>
      </c>
      <c r="L108">
        <v>11.93</v>
      </c>
      <c r="M108" s="1">
        <v>45049</v>
      </c>
      <c r="N108">
        <v>35.74</v>
      </c>
      <c r="O108" s="1">
        <v>46204</v>
      </c>
      <c r="P108">
        <v>1254</v>
      </c>
      <c r="Q108" t="s">
        <v>21</v>
      </c>
      <c r="R108" t="str">
        <f t="shared" si="2"/>
        <v>has not made new highs</v>
      </c>
      <c r="S108" s="15">
        <f t="shared" si="3"/>
        <v>32.653805532271583</v>
      </c>
    </row>
    <row r="109" spans="1:19" x14ac:dyDescent="0.35">
      <c r="A109" t="s">
        <v>294</v>
      </c>
      <c r="B109" t="s">
        <v>294</v>
      </c>
      <c r="C109" t="s">
        <v>295</v>
      </c>
      <c r="D109" t="s">
        <v>27</v>
      </c>
      <c r="E109">
        <v>7372</v>
      </c>
      <c r="F109" t="s">
        <v>20</v>
      </c>
      <c r="G109" s="1">
        <v>44377</v>
      </c>
      <c r="H109" s="1">
        <v>44379</v>
      </c>
      <c r="I109" t="b">
        <v>1</v>
      </c>
      <c r="J109">
        <v>78.53</v>
      </c>
      <c r="K109" s="1">
        <v>44512</v>
      </c>
      <c r="L109">
        <v>11.81</v>
      </c>
      <c r="M109" s="1">
        <v>46122</v>
      </c>
      <c r="N109">
        <v>17.59</v>
      </c>
      <c r="O109" s="1">
        <v>46204</v>
      </c>
      <c r="P109">
        <v>1254</v>
      </c>
      <c r="Q109" t="s">
        <v>21</v>
      </c>
      <c r="R109" t="str">
        <f t="shared" si="2"/>
        <v>has not made new highs</v>
      </c>
      <c r="S109" s="15">
        <f t="shared" si="3"/>
        <v>5.6494496189669769</v>
      </c>
    </row>
    <row r="110" spans="1:19" x14ac:dyDescent="0.35">
      <c r="A110" t="s">
        <v>296</v>
      </c>
      <c r="B110" t="s">
        <v>296</v>
      </c>
      <c r="C110" t="s">
        <v>297</v>
      </c>
      <c r="D110" t="s">
        <v>41</v>
      </c>
      <c r="G110" s="1">
        <v>44036</v>
      </c>
      <c r="H110" s="1">
        <v>44379</v>
      </c>
      <c r="I110" t="b">
        <v>1</v>
      </c>
      <c r="J110">
        <v>45.429000000000002</v>
      </c>
      <c r="K110" s="1">
        <v>44441</v>
      </c>
      <c r="L110">
        <v>21.35</v>
      </c>
      <c r="M110" s="1">
        <v>45398</v>
      </c>
      <c r="N110">
        <v>36.75</v>
      </c>
      <c r="O110" s="1">
        <v>46204</v>
      </c>
      <c r="P110">
        <v>1254</v>
      </c>
      <c r="Q110" t="s">
        <v>21</v>
      </c>
      <c r="R110" t="str">
        <f t="shared" si="2"/>
        <v>has not made new highs</v>
      </c>
      <c r="S110" s="15">
        <f t="shared" si="3"/>
        <v>1.1278220140515223</v>
      </c>
    </row>
    <row r="111" spans="1:19" x14ac:dyDescent="0.35">
      <c r="A111" t="s">
        <v>298</v>
      </c>
      <c r="B111" t="s">
        <v>298</v>
      </c>
      <c r="C111" t="s">
        <v>299</v>
      </c>
      <c r="D111" t="s">
        <v>30</v>
      </c>
      <c r="E111">
        <v>4700</v>
      </c>
      <c r="F111" t="s">
        <v>300</v>
      </c>
      <c r="G111" s="1">
        <v>44399</v>
      </c>
      <c r="H111" s="1">
        <v>44410</v>
      </c>
      <c r="I111" t="b">
        <v>1</v>
      </c>
      <c r="J111">
        <v>105.92</v>
      </c>
      <c r="K111" s="1">
        <v>44518</v>
      </c>
      <c r="L111">
        <v>30.46</v>
      </c>
      <c r="M111" s="1">
        <v>45756</v>
      </c>
      <c r="N111">
        <v>51.28</v>
      </c>
      <c r="O111" s="1">
        <v>46204</v>
      </c>
      <c r="P111">
        <v>1234</v>
      </c>
      <c r="Q111" t="s">
        <v>21</v>
      </c>
      <c r="R111" t="str">
        <f t="shared" si="2"/>
        <v>has not made new highs</v>
      </c>
      <c r="S111" s="15">
        <f t="shared" si="3"/>
        <v>2.4773473407747866</v>
      </c>
    </row>
    <row r="112" spans="1:19" x14ac:dyDescent="0.35">
      <c r="A112" t="s">
        <v>301</v>
      </c>
      <c r="B112" t="s">
        <v>301</v>
      </c>
      <c r="C112" t="s">
        <v>302</v>
      </c>
      <c r="D112" t="s">
        <v>45</v>
      </c>
      <c r="E112">
        <v>6411</v>
      </c>
      <c r="F112" t="s">
        <v>130</v>
      </c>
      <c r="G112" s="1">
        <v>44455</v>
      </c>
      <c r="H112" s="1">
        <v>44455</v>
      </c>
      <c r="I112" t="b">
        <v>0</v>
      </c>
      <c r="J112">
        <v>46</v>
      </c>
      <c r="K112" s="1">
        <v>46203</v>
      </c>
      <c r="L112">
        <v>18.760000000000002</v>
      </c>
      <c r="M112" s="1">
        <v>44547</v>
      </c>
      <c r="N112">
        <v>45.39</v>
      </c>
      <c r="O112" s="1">
        <v>46204</v>
      </c>
      <c r="P112">
        <v>1202</v>
      </c>
      <c r="Q112" t="s">
        <v>21</v>
      </c>
      <c r="R112" t="str">
        <f t="shared" si="2"/>
        <v>has made new highs</v>
      </c>
      <c r="S112" s="15">
        <f t="shared" si="3"/>
        <v>1.4520255863539444</v>
      </c>
    </row>
    <row r="113" spans="1:19" x14ac:dyDescent="0.35">
      <c r="A113" t="s">
        <v>303</v>
      </c>
      <c r="B113" t="s">
        <v>303</v>
      </c>
      <c r="C113" t="s">
        <v>304</v>
      </c>
      <c r="D113" t="s">
        <v>30</v>
      </c>
      <c r="E113">
        <v>7389</v>
      </c>
      <c r="F113" t="s">
        <v>38</v>
      </c>
      <c r="G113" s="1">
        <v>45559</v>
      </c>
      <c r="H113" s="1">
        <v>45565</v>
      </c>
      <c r="I113" t="b">
        <v>1</v>
      </c>
      <c r="J113">
        <v>38.11</v>
      </c>
      <c r="K113" s="1">
        <v>46059</v>
      </c>
      <c r="L113">
        <v>16.010000000000002</v>
      </c>
      <c r="M113" s="1">
        <v>45756</v>
      </c>
      <c r="N113">
        <v>20.2</v>
      </c>
      <c r="O113" s="1">
        <v>46204</v>
      </c>
      <c r="P113">
        <v>439</v>
      </c>
      <c r="Q113" t="s">
        <v>21</v>
      </c>
      <c r="R113" t="str">
        <f t="shared" si="2"/>
        <v>has made new highs</v>
      </c>
      <c r="S113" s="15">
        <f t="shared" si="3"/>
        <v>1.3803872579637724</v>
      </c>
    </row>
    <row r="114" spans="1:19" x14ac:dyDescent="0.35">
      <c r="A114" t="s">
        <v>305</v>
      </c>
      <c r="B114" t="s">
        <v>305</v>
      </c>
      <c r="C114" t="s">
        <v>306</v>
      </c>
      <c r="D114" t="s">
        <v>24</v>
      </c>
      <c r="E114">
        <v>1311</v>
      </c>
      <c r="F114" t="s">
        <v>87</v>
      </c>
      <c r="G114" s="1">
        <v>44155</v>
      </c>
      <c r="H114" s="1">
        <v>44747</v>
      </c>
      <c r="I114" t="b">
        <v>1</v>
      </c>
      <c r="J114">
        <v>190.23</v>
      </c>
      <c r="K114" s="1">
        <v>45394</v>
      </c>
      <c r="L114">
        <v>79.83</v>
      </c>
      <c r="M114" s="1">
        <v>45756</v>
      </c>
      <c r="N114">
        <v>111.63</v>
      </c>
      <c r="O114" s="1">
        <v>46204</v>
      </c>
      <c r="P114">
        <v>1002</v>
      </c>
      <c r="Q114" t="s">
        <v>21</v>
      </c>
      <c r="R114" t="str">
        <f t="shared" si="2"/>
        <v>has not made new highs</v>
      </c>
      <c r="S114" s="15">
        <f t="shared" si="3"/>
        <v>1.3829387448327695</v>
      </c>
    </row>
    <row r="115" spans="1:19" x14ac:dyDescent="0.35">
      <c r="A115" t="s">
        <v>307</v>
      </c>
      <c r="B115" t="s">
        <v>307</v>
      </c>
      <c r="C115" t="s">
        <v>308</v>
      </c>
      <c r="D115" t="s">
        <v>30</v>
      </c>
      <c r="E115">
        <v>3824</v>
      </c>
      <c r="F115" t="s">
        <v>309</v>
      </c>
      <c r="G115" s="1">
        <v>44098</v>
      </c>
      <c r="H115" s="1">
        <v>44379</v>
      </c>
      <c r="I115" t="b">
        <v>1</v>
      </c>
      <c r="J115">
        <v>48.2</v>
      </c>
      <c r="K115" s="1">
        <v>46065</v>
      </c>
      <c r="L115">
        <v>16.55</v>
      </c>
      <c r="M115" s="1">
        <v>44833</v>
      </c>
      <c r="N115">
        <v>28.58</v>
      </c>
      <c r="O115" s="1">
        <v>46204</v>
      </c>
      <c r="P115">
        <v>1254</v>
      </c>
      <c r="Q115" t="s">
        <v>21</v>
      </c>
      <c r="R115" t="str">
        <f t="shared" si="2"/>
        <v>has made new highs</v>
      </c>
      <c r="S115" s="15">
        <f t="shared" si="3"/>
        <v>1.9123867069486404</v>
      </c>
    </row>
    <row r="116" spans="1:19" x14ac:dyDescent="0.35">
      <c r="A116" t="s">
        <v>310</v>
      </c>
      <c r="B116" t="s">
        <v>310</v>
      </c>
      <c r="C116" t="s">
        <v>311</v>
      </c>
      <c r="D116" t="s">
        <v>45</v>
      </c>
      <c r="E116">
        <v>6798</v>
      </c>
      <c r="F116" t="s">
        <v>214</v>
      </c>
      <c r="G116" s="1">
        <v>45329</v>
      </c>
      <c r="H116" s="1">
        <v>45329</v>
      </c>
      <c r="I116" t="b">
        <v>0</v>
      </c>
      <c r="J116">
        <v>54.67</v>
      </c>
      <c r="K116" s="1">
        <v>46080</v>
      </c>
      <c r="L116">
        <v>12.63</v>
      </c>
      <c r="M116" s="1">
        <v>45329</v>
      </c>
      <c r="N116">
        <v>53.65</v>
      </c>
      <c r="O116" s="1">
        <v>46204</v>
      </c>
      <c r="P116">
        <v>601</v>
      </c>
      <c r="Q116" t="s">
        <v>21</v>
      </c>
      <c r="R116" t="str">
        <f t="shared" si="2"/>
        <v>has made new highs</v>
      </c>
      <c r="S116" s="15">
        <f t="shared" si="3"/>
        <v>3.328582739509105</v>
      </c>
    </row>
    <row r="117" spans="1:19" x14ac:dyDescent="0.35">
      <c r="A117" t="s">
        <v>312</v>
      </c>
      <c r="B117" t="s">
        <v>313</v>
      </c>
      <c r="C117" t="s">
        <v>314</v>
      </c>
      <c r="D117" t="s">
        <v>45</v>
      </c>
      <c r="E117">
        <v>7372</v>
      </c>
      <c r="F117" t="s">
        <v>20</v>
      </c>
      <c r="G117" s="1">
        <v>44463</v>
      </c>
      <c r="H117" s="1">
        <v>44463</v>
      </c>
      <c r="I117" t="b">
        <v>0</v>
      </c>
      <c r="J117">
        <v>35.71</v>
      </c>
      <c r="K117" s="1">
        <v>45603</v>
      </c>
      <c r="L117">
        <v>11.23</v>
      </c>
      <c r="M117" s="1">
        <v>44755</v>
      </c>
      <c r="N117">
        <v>24.56</v>
      </c>
      <c r="O117" s="1">
        <v>46197</v>
      </c>
      <c r="P117">
        <v>1191</v>
      </c>
      <c r="Q117" t="s">
        <v>21</v>
      </c>
      <c r="R117" t="str">
        <f t="shared" si="2"/>
        <v>has made new highs</v>
      </c>
      <c r="S117" s="15">
        <f t="shared" si="3"/>
        <v>2.1798753339269812</v>
      </c>
    </row>
    <row r="118" spans="1:19" x14ac:dyDescent="0.35">
      <c r="A118" t="s">
        <v>315</v>
      </c>
      <c r="B118" t="s">
        <v>315</v>
      </c>
      <c r="C118" t="s">
        <v>316</v>
      </c>
      <c r="D118" t="s">
        <v>27</v>
      </c>
      <c r="E118">
        <v>7389</v>
      </c>
      <c r="F118" t="s">
        <v>38</v>
      </c>
      <c r="G118" s="1">
        <v>43956</v>
      </c>
      <c r="H118" s="1">
        <v>45155</v>
      </c>
      <c r="I118" t="b">
        <v>1</v>
      </c>
      <c r="J118">
        <v>186.74</v>
      </c>
      <c r="K118" s="1">
        <v>45846</v>
      </c>
      <c r="L118">
        <v>1.1917</v>
      </c>
      <c r="M118" s="1">
        <v>45225</v>
      </c>
      <c r="N118">
        <v>175.18</v>
      </c>
      <c r="O118" s="1">
        <v>46204</v>
      </c>
      <c r="P118">
        <v>702</v>
      </c>
      <c r="Q118" t="s">
        <v>21</v>
      </c>
      <c r="R118" t="str">
        <f t="shared" si="2"/>
        <v>has made new highs</v>
      </c>
      <c r="S118" s="15">
        <f t="shared" si="3"/>
        <v>155.70051187379374</v>
      </c>
    </row>
    <row r="119" spans="1:19" x14ac:dyDescent="0.35">
      <c r="A119" t="s">
        <v>317</v>
      </c>
      <c r="B119" t="s">
        <v>317</v>
      </c>
      <c r="C119" t="s">
        <v>318</v>
      </c>
      <c r="D119" t="s">
        <v>37</v>
      </c>
      <c r="G119" s="1">
        <v>44589</v>
      </c>
      <c r="H119" s="1">
        <v>44589</v>
      </c>
      <c r="I119" t="b">
        <v>0</v>
      </c>
      <c r="J119">
        <v>14.38</v>
      </c>
      <c r="K119" s="1">
        <v>45936</v>
      </c>
      <c r="L119">
        <v>2.57</v>
      </c>
      <c r="M119" s="1">
        <v>44922</v>
      </c>
      <c r="N119">
        <v>13.97</v>
      </c>
      <c r="O119" s="1">
        <v>46204</v>
      </c>
      <c r="P119">
        <v>1109</v>
      </c>
      <c r="Q119" t="s">
        <v>21</v>
      </c>
      <c r="R119" t="str">
        <f t="shared" si="2"/>
        <v>has made new highs</v>
      </c>
      <c r="S119" s="15">
        <f t="shared" si="3"/>
        <v>4.5953307392996114</v>
      </c>
    </row>
    <row r="120" spans="1:19" x14ac:dyDescent="0.35">
      <c r="A120" t="s">
        <v>319</v>
      </c>
      <c r="B120" t="s">
        <v>319</v>
      </c>
      <c r="C120" t="s">
        <v>320</v>
      </c>
      <c r="D120" t="s">
        <v>68</v>
      </c>
      <c r="E120">
        <v>2834</v>
      </c>
      <c r="F120" t="s">
        <v>157</v>
      </c>
      <c r="G120" s="1">
        <v>44406</v>
      </c>
      <c r="H120" s="1">
        <v>44406</v>
      </c>
      <c r="I120" t="b">
        <v>0</v>
      </c>
      <c r="J120">
        <v>123.69</v>
      </c>
      <c r="K120" s="1">
        <v>46197</v>
      </c>
      <c r="L120">
        <v>7.09</v>
      </c>
      <c r="M120" s="1">
        <v>44700</v>
      </c>
      <c r="N120">
        <v>123.6</v>
      </c>
      <c r="O120" s="1">
        <v>46204</v>
      </c>
      <c r="P120">
        <v>1236</v>
      </c>
      <c r="Q120" t="s">
        <v>21</v>
      </c>
      <c r="R120" t="str">
        <f t="shared" si="2"/>
        <v>has made new highs</v>
      </c>
      <c r="S120" s="15">
        <f t="shared" si="3"/>
        <v>16.445698166431594</v>
      </c>
    </row>
    <row r="121" spans="1:19" x14ac:dyDescent="0.35">
      <c r="A121" t="s">
        <v>321</v>
      </c>
      <c r="B121" t="s">
        <v>321</v>
      </c>
      <c r="C121" t="s">
        <v>322</v>
      </c>
      <c r="D121" t="s">
        <v>84</v>
      </c>
      <c r="G121" s="1">
        <v>44328</v>
      </c>
      <c r="H121" s="1">
        <v>44379</v>
      </c>
      <c r="I121" t="b">
        <v>1</v>
      </c>
      <c r="J121">
        <v>83.77</v>
      </c>
      <c r="K121" s="1">
        <v>44439</v>
      </c>
      <c r="L121">
        <v>15.63</v>
      </c>
      <c r="M121" s="1">
        <v>44698</v>
      </c>
      <c r="N121">
        <v>35.83</v>
      </c>
      <c r="O121" s="1">
        <v>46204</v>
      </c>
      <c r="P121">
        <v>1254</v>
      </c>
      <c r="Q121" t="s">
        <v>21</v>
      </c>
      <c r="R121" t="str">
        <f t="shared" si="2"/>
        <v>has not made new highs</v>
      </c>
      <c r="S121" s="15">
        <f t="shared" si="3"/>
        <v>4.3595649392194495</v>
      </c>
    </row>
    <row r="122" spans="1:19" x14ac:dyDescent="0.35">
      <c r="A122" t="s">
        <v>323</v>
      </c>
      <c r="B122" t="s">
        <v>323</v>
      </c>
      <c r="C122" t="s">
        <v>324</v>
      </c>
      <c r="D122" t="s">
        <v>24</v>
      </c>
      <c r="G122" s="1">
        <v>45573</v>
      </c>
      <c r="H122" s="1">
        <v>45573</v>
      </c>
      <c r="I122" t="b">
        <v>0</v>
      </c>
      <c r="J122">
        <v>38.450000000000003</v>
      </c>
      <c r="K122" s="1">
        <v>46185</v>
      </c>
      <c r="L122">
        <v>21.16</v>
      </c>
      <c r="M122" s="1">
        <v>45756</v>
      </c>
      <c r="N122">
        <v>34.450000000000003</v>
      </c>
      <c r="O122" s="1">
        <v>46204</v>
      </c>
      <c r="P122">
        <v>433</v>
      </c>
      <c r="Q122" t="s">
        <v>21</v>
      </c>
      <c r="R122" t="str">
        <f t="shared" si="2"/>
        <v>has made new highs</v>
      </c>
      <c r="S122" s="15">
        <f t="shared" si="3"/>
        <v>0.81710775047258988</v>
      </c>
    </row>
    <row r="123" spans="1:19" x14ac:dyDescent="0.35">
      <c r="A123" t="s">
        <v>325</v>
      </c>
      <c r="B123" t="s">
        <v>325</v>
      </c>
      <c r="C123" t="s">
        <v>326</v>
      </c>
      <c r="D123" t="s">
        <v>64</v>
      </c>
      <c r="G123" s="1">
        <v>44119</v>
      </c>
      <c r="H123" s="1">
        <v>44379</v>
      </c>
      <c r="I123" t="b">
        <v>1</v>
      </c>
      <c r="J123">
        <v>29.92</v>
      </c>
      <c r="K123" s="1">
        <v>45184</v>
      </c>
      <c r="L123">
        <v>4.45</v>
      </c>
      <c r="M123" s="1">
        <v>44832</v>
      </c>
      <c r="N123">
        <v>12.18</v>
      </c>
      <c r="O123" s="1">
        <v>46204</v>
      </c>
      <c r="P123">
        <v>1254</v>
      </c>
      <c r="Q123" t="s">
        <v>21</v>
      </c>
      <c r="R123" t="str">
        <f t="shared" si="2"/>
        <v>has made new highs</v>
      </c>
      <c r="S123" s="15">
        <f t="shared" si="3"/>
        <v>5.7235955056179781</v>
      </c>
    </row>
    <row r="124" spans="1:19" x14ac:dyDescent="0.35">
      <c r="A124" t="s">
        <v>327</v>
      </c>
      <c r="B124" t="s">
        <v>327</v>
      </c>
      <c r="C124" t="s">
        <v>328</v>
      </c>
      <c r="D124" t="s">
        <v>105</v>
      </c>
      <c r="E124">
        <v>1000</v>
      </c>
      <c r="F124" t="s">
        <v>329</v>
      </c>
      <c r="G124" s="1">
        <v>44153</v>
      </c>
      <c r="H124" s="1">
        <v>44379</v>
      </c>
      <c r="I124" t="b">
        <v>1</v>
      </c>
      <c r="J124">
        <v>100.2505</v>
      </c>
      <c r="K124" s="1">
        <v>45944</v>
      </c>
      <c r="L124">
        <v>10.02</v>
      </c>
      <c r="M124" s="1">
        <v>45509</v>
      </c>
      <c r="N124">
        <v>54.28</v>
      </c>
      <c r="O124" s="1">
        <v>46204</v>
      </c>
      <c r="P124">
        <v>1254</v>
      </c>
      <c r="Q124" t="s">
        <v>21</v>
      </c>
      <c r="R124" t="str">
        <f t="shared" si="2"/>
        <v>has made new highs</v>
      </c>
      <c r="S124" s="15">
        <f t="shared" si="3"/>
        <v>9.0050399201596818</v>
      </c>
    </row>
    <row r="125" spans="1:19" x14ac:dyDescent="0.35">
      <c r="A125" t="s">
        <v>330</v>
      </c>
      <c r="B125" t="s">
        <v>330</v>
      </c>
      <c r="C125" t="s">
        <v>331</v>
      </c>
      <c r="D125" t="s">
        <v>27</v>
      </c>
      <c r="E125">
        <v>7372</v>
      </c>
      <c r="F125" t="s">
        <v>20</v>
      </c>
      <c r="G125" s="1">
        <v>44041</v>
      </c>
      <c r="H125" s="1">
        <v>44379</v>
      </c>
      <c r="I125" t="b">
        <v>1</v>
      </c>
      <c r="J125">
        <v>60.71</v>
      </c>
      <c r="K125" s="1">
        <v>45694</v>
      </c>
      <c r="L125">
        <v>9.44</v>
      </c>
      <c r="M125" s="1">
        <v>44726</v>
      </c>
      <c r="N125">
        <v>12.52</v>
      </c>
      <c r="O125" s="1">
        <v>46204</v>
      </c>
      <c r="P125">
        <v>1254</v>
      </c>
      <c r="Q125" t="s">
        <v>21</v>
      </c>
      <c r="R125" t="str">
        <f t="shared" si="2"/>
        <v>has made new highs</v>
      </c>
      <c r="S125" s="15">
        <f t="shared" si="3"/>
        <v>5.4311440677966107</v>
      </c>
    </row>
    <row r="126" spans="1:19" x14ac:dyDescent="0.35">
      <c r="A126" t="s">
        <v>332</v>
      </c>
      <c r="B126" t="s">
        <v>332</v>
      </c>
      <c r="C126" t="s">
        <v>333</v>
      </c>
      <c r="D126" t="s">
        <v>45</v>
      </c>
      <c r="E126">
        <v>6792</v>
      </c>
      <c r="F126" t="s">
        <v>334</v>
      </c>
      <c r="G126" s="1">
        <v>45471</v>
      </c>
      <c r="H126" s="1">
        <v>45471</v>
      </c>
      <c r="I126" t="b">
        <v>0</v>
      </c>
      <c r="J126">
        <v>87.596800000000002</v>
      </c>
      <c r="K126" s="1">
        <v>45797</v>
      </c>
      <c r="L126">
        <v>18.75</v>
      </c>
      <c r="M126" s="1">
        <v>45471</v>
      </c>
      <c r="N126">
        <v>72.3</v>
      </c>
      <c r="O126" s="1">
        <v>46204</v>
      </c>
      <c r="P126">
        <v>503</v>
      </c>
      <c r="Q126" t="s">
        <v>21</v>
      </c>
      <c r="R126" t="str">
        <f t="shared" si="2"/>
        <v>has made new highs</v>
      </c>
      <c r="S126" s="15">
        <f t="shared" si="3"/>
        <v>3.6718293333333336</v>
      </c>
    </row>
    <row r="127" spans="1:19" x14ac:dyDescent="0.35">
      <c r="A127" t="s">
        <v>335</v>
      </c>
      <c r="B127" t="s">
        <v>335</v>
      </c>
      <c r="C127" t="s">
        <v>336</v>
      </c>
      <c r="D127" t="s">
        <v>68</v>
      </c>
      <c r="E127">
        <v>6324</v>
      </c>
      <c r="F127" t="s">
        <v>337</v>
      </c>
      <c r="G127" s="1">
        <v>44258</v>
      </c>
      <c r="H127" s="1">
        <v>44379</v>
      </c>
      <c r="I127" t="b">
        <v>1</v>
      </c>
      <c r="J127">
        <v>32.06</v>
      </c>
      <c r="K127" s="1">
        <v>46204</v>
      </c>
      <c r="L127">
        <v>2.0499999999999998</v>
      </c>
      <c r="M127" s="1">
        <v>44917</v>
      </c>
      <c r="N127">
        <v>31.9</v>
      </c>
      <c r="O127" s="1">
        <v>46204</v>
      </c>
      <c r="P127">
        <v>1254</v>
      </c>
      <c r="Q127" t="s">
        <v>21</v>
      </c>
      <c r="R127" t="str">
        <f t="shared" si="2"/>
        <v>has made new highs</v>
      </c>
      <c r="S127" s="15">
        <f t="shared" si="3"/>
        <v>14.639024390243904</v>
      </c>
    </row>
    <row r="128" spans="1:19" x14ac:dyDescent="0.35">
      <c r="A128" t="s">
        <v>338</v>
      </c>
      <c r="B128" t="s">
        <v>338</v>
      </c>
      <c r="C128" t="s">
        <v>339</v>
      </c>
      <c r="D128" t="s">
        <v>27</v>
      </c>
      <c r="E128">
        <v>3829</v>
      </c>
      <c r="F128" t="s">
        <v>340</v>
      </c>
      <c r="G128" s="1">
        <v>44063</v>
      </c>
      <c r="H128" s="1">
        <v>44490</v>
      </c>
      <c r="I128" t="b">
        <v>1</v>
      </c>
      <c r="J128">
        <v>30.277000000000001</v>
      </c>
      <c r="K128" s="1">
        <v>45960</v>
      </c>
      <c r="L128">
        <v>5.4</v>
      </c>
      <c r="M128" s="1">
        <v>44756</v>
      </c>
      <c r="N128">
        <v>17.91</v>
      </c>
      <c r="O128" s="1">
        <v>46204</v>
      </c>
      <c r="P128">
        <v>1177</v>
      </c>
      <c r="Q128" t="s">
        <v>21</v>
      </c>
      <c r="R128" t="str">
        <f t="shared" si="2"/>
        <v>has made new highs</v>
      </c>
      <c r="S128" s="15">
        <f t="shared" si="3"/>
        <v>4.606851851851852</v>
      </c>
    </row>
    <row r="129" spans="1:19" x14ac:dyDescent="0.35">
      <c r="A129" t="s">
        <v>341</v>
      </c>
      <c r="B129" t="s">
        <v>341</v>
      </c>
      <c r="C129" t="s">
        <v>342</v>
      </c>
      <c r="D129" t="s">
        <v>45</v>
      </c>
      <c r="G129" s="1">
        <v>45758</v>
      </c>
      <c r="H129" s="1">
        <v>45758</v>
      </c>
      <c r="I129" t="b">
        <v>0</v>
      </c>
      <c r="J129">
        <v>79.56</v>
      </c>
      <c r="K129" s="1">
        <v>45761</v>
      </c>
      <c r="L129">
        <v>4.5</v>
      </c>
      <c r="M129" s="1">
        <v>46114</v>
      </c>
      <c r="N129">
        <v>7.18</v>
      </c>
      <c r="O129" s="1">
        <v>46204</v>
      </c>
      <c r="P129">
        <v>306</v>
      </c>
      <c r="Q129" t="s">
        <v>21</v>
      </c>
      <c r="R129" t="str">
        <f t="shared" si="2"/>
        <v>has not made new highs</v>
      </c>
      <c r="S129" s="15">
        <f t="shared" si="3"/>
        <v>16.68</v>
      </c>
    </row>
    <row r="130" spans="1:19" x14ac:dyDescent="0.35">
      <c r="A130" t="s">
        <v>343</v>
      </c>
      <c r="B130" t="s">
        <v>343</v>
      </c>
      <c r="C130" t="s">
        <v>344</v>
      </c>
      <c r="D130" t="s">
        <v>27</v>
      </c>
      <c r="E130">
        <v>7372</v>
      </c>
      <c r="F130" t="s">
        <v>20</v>
      </c>
      <c r="G130" s="1">
        <v>44090</v>
      </c>
      <c r="H130" s="1">
        <v>44379</v>
      </c>
      <c r="I130" t="b">
        <v>1</v>
      </c>
      <c r="J130">
        <v>93.12</v>
      </c>
      <c r="K130" s="1">
        <v>46203</v>
      </c>
      <c r="L130">
        <v>16.356000000000002</v>
      </c>
      <c r="M130" s="1">
        <v>44693</v>
      </c>
      <c r="N130">
        <v>90.39</v>
      </c>
      <c r="O130" s="1">
        <v>46204</v>
      </c>
      <c r="P130">
        <v>1254</v>
      </c>
      <c r="Q130" t="s">
        <v>21</v>
      </c>
      <c r="R130" t="str">
        <f t="shared" si="2"/>
        <v>has made new highs</v>
      </c>
      <c r="S130" s="15">
        <f t="shared" si="3"/>
        <v>4.6933235509904625</v>
      </c>
    </row>
    <row r="131" spans="1:19" x14ac:dyDescent="0.35">
      <c r="A131" t="s">
        <v>345</v>
      </c>
      <c r="B131" t="s">
        <v>345</v>
      </c>
      <c r="C131" t="s">
        <v>346</v>
      </c>
      <c r="D131" t="s">
        <v>45</v>
      </c>
      <c r="E131">
        <v>6199</v>
      </c>
      <c r="F131" t="s">
        <v>46</v>
      </c>
      <c r="G131" s="1">
        <v>45315</v>
      </c>
      <c r="H131" s="1">
        <v>45315</v>
      </c>
      <c r="I131" t="b">
        <v>0</v>
      </c>
      <c r="J131">
        <v>30.46</v>
      </c>
      <c r="K131" s="1">
        <v>46175</v>
      </c>
      <c r="L131">
        <v>2.61</v>
      </c>
      <c r="M131" s="1">
        <v>45323</v>
      </c>
      <c r="N131">
        <v>23.71</v>
      </c>
      <c r="O131" s="1">
        <v>46204</v>
      </c>
      <c r="P131">
        <v>611</v>
      </c>
      <c r="Q131" t="s">
        <v>21</v>
      </c>
      <c r="R131" t="str">
        <f t="shared" ref="R131:R193" si="4">IF(K131&gt;M131,"has made new highs","has not made new highs")</f>
        <v>has made new highs</v>
      </c>
      <c r="S131" s="15">
        <f t="shared" ref="S131:S193" si="5">(J131-L131)/L131</f>
        <v>10.670498084291189</v>
      </c>
    </row>
    <row r="132" spans="1:19" x14ac:dyDescent="0.35">
      <c r="A132" t="s">
        <v>347</v>
      </c>
      <c r="B132" t="s">
        <v>347</v>
      </c>
      <c r="C132" t="s">
        <v>348</v>
      </c>
      <c r="D132" t="s">
        <v>27</v>
      </c>
      <c r="E132">
        <v>5045</v>
      </c>
      <c r="F132" t="s">
        <v>349</v>
      </c>
      <c r="G132" s="1">
        <v>45589</v>
      </c>
      <c r="H132" s="1">
        <v>45589</v>
      </c>
      <c r="I132" t="b">
        <v>0</v>
      </c>
      <c r="J132">
        <v>31.69</v>
      </c>
      <c r="K132" s="1">
        <v>46175</v>
      </c>
      <c r="L132">
        <v>14.25</v>
      </c>
      <c r="M132" s="1">
        <v>45755</v>
      </c>
      <c r="N132">
        <v>27.18</v>
      </c>
      <c r="O132" s="1">
        <v>46204</v>
      </c>
      <c r="P132">
        <v>421</v>
      </c>
      <c r="Q132" t="s">
        <v>21</v>
      </c>
      <c r="R132" t="str">
        <f t="shared" si="4"/>
        <v>has made new highs</v>
      </c>
      <c r="S132" s="15">
        <f t="shared" si="5"/>
        <v>1.2238596491228071</v>
      </c>
    </row>
    <row r="133" spans="1:19" x14ac:dyDescent="0.35">
      <c r="A133" t="s">
        <v>350</v>
      </c>
      <c r="B133" t="s">
        <v>350</v>
      </c>
      <c r="C133" t="s">
        <v>351</v>
      </c>
      <c r="D133" t="s">
        <v>27</v>
      </c>
      <c r="E133">
        <v>7370</v>
      </c>
      <c r="F133" t="s">
        <v>34</v>
      </c>
      <c r="G133" s="1">
        <v>45377</v>
      </c>
      <c r="H133" s="1">
        <v>45377</v>
      </c>
      <c r="I133" t="b">
        <v>0</v>
      </c>
      <c r="J133">
        <v>79.38</v>
      </c>
      <c r="K133" s="1">
        <v>45377</v>
      </c>
      <c r="L133">
        <v>6.96</v>
      </c>
      <c r="M133" s="1">
        <v>46199</v>
      </c>
      <c r="N133">
        <v>8.02</v>
      </c>
      <c r="O133" s="1">
        <v>46204</v>
      </c>
      <c r="P133">
        <v>568</v>
      </c>
      <c r="Q133" t="s">
        <v>21</v>
      </c>
      <c r="R133" t="str">
        <f t="shared" si="4"/>
        <v>has not made new highs</v>
      </c>
      <c r="S133" s="15">
        <f t="shared" si="5"/>
        <v>10.405172413793103</v>
      </c>
    </row>
    <row r="134" spans="1:19" x14ac:dyDescent="0.35">
      <c r="A134" t="s">
        <v>352</v>
      </c>
      <c r="B134" t="s">
        <v>352</v>
      </c>
      <c r="C134" t="s">
        <v>353</v>
      </c>
      <c r="D134" t="s">
        <v>84</v>
      </c>
      <c r="G134" s="1">
        <v>45623</v>
      </c>
      <c r="H134" s="1">
        <v>45623</v>
      </c>
      <c r="I134" t="b">
        <v>0</v>
      </c>
      <c r="J134">
        <v>24.92</v>
      </c>
      <c r="K134" s="1">
        <v>45932</v>
      </c>
      <c r="L134">
        <v>4.1100000000000003</v>
      </c>
      <c r="M134" s="1">
        <v>45769</v>
      </c>
      <c r="N134">
        <v>7.29</v>
      </c>
      <c r="O134" s="1">
        <v>46204</v>
      </c>
      <c r="P134">
        <v>397</v>
      </c>
      <c r="Q134" t="s">
        <v>21</v>
      </c>
      <c r="R134" t="str">
        <f t="shared" si="4"/>
        <v>has made new highs</v>
      </c>
      <c r="S134" s="15">
        <f t="shared" si="5"/>
        <v>5.0632603406326036</v>
      </c>
    </row>
    <row r="135" spans="1:19" x14ac:dyDescent="0.35">
      <c r="A135" t="s">
        <v>354</v>
      </c>
      <c r="B135" t="s">
        <v>354</v>
      </c>
      <c r="C135" t="s">
        <v>355</v>
      </c>
      <c r="D135" t="s">
        <v>27</v>
      </c>
      <c r="E135">
        <v>7374</v>
      </c>
      <c r="F135" t="s">
        <v>90</v>
      </c>
      <c r="G135" s="1">
        <v>45449</v>
      </c>
      <c r="H135" s="1">
        <v>45449</v>
      </c>
      <c r="I135" t="b">
        <v>0</v>
      </c>
      <c r="J135">
        <v>112.5395</v>
      </c>
      <c r="K135" s="1">
        <v>45936</v>
      </c>
      <c r="L135">
        <v>26</v>
      </c>
      <c r="M135" s="1">
        <v>45449</v>
      </c>
      <c r="N135">
        <v>57.325000000000003</v>
      </c>
      <c r="O135" s="1">
        <v>46204</v>
      </c>
      <c r="P135">
        <v>518</v>
      </c>
      <c r="Q135" t="s">
        <v>21</v>
      </c>
      <c r="R135" t="str">
        <f t="shared" si="4"/>
        <v>has made new highs</v>
      </c>
      <c r="S135" s="15">
        <f t="shared" si="5"/>
        <v>3.328442307692308</v>
      </c>
    </row>
    <row r="136" spans="1:19" x14ac:dyDescent="0.35">
      <c r="A136" t="s">
        <v>356</v>
      </c>
      <c r="B136" t="s">
        <v>356</v>
      </c>
      <c r="C136" t="s">
        <v>357</v>
      </c>
      <c r="D136" t="s">
        <v>45</v>
      </c>
      <c r="E136">
        <v>6798</v>
      </c>
      <c r="F136" t="s">
        <v>214</v>
      </c>
      <c r="G136" s="1">
        <v>42391</v>
      </c>
      <c r="H136" s="1">
        <v>44392</v>
      </c>
      <c r="I136" t="b">
        <v>1</v>
      </c>
      <c r="J136">
        <v>42.7</v>
      </c>
      <c r="K136" s="1">
        <v>46199</v>
      </c>
      <c r="L136">
        <v>26.51</v>
      </c>
      <c r="M136" s="1">
        <v>44396</v>
      </c>
      <c r="N136">
        <v>41.56</v>
      </c>
      <c r="O136" s="1">
        <v>46204</v>
      </c>
      <c r="P136">
        <v>1246</v>
      </c>
      <c r="Q136" t="s">
        <v>21</v>
      </c>
      <c r="R136" t="str">
        <f t="shared" si="4"/>
        <v>has made new highs</v>
      </c>
      <c r="S136" s="15">
        <f t="shared" si="5"/>
        <v>0.6107129385137684</v>
      </c>
    </row>
    <row r="137" spans="1:19" x14ac:dyDescent="0.35">
      <c r="A137" t="s">
        <v>358</v>
      </c>
      <c r="B137" t="s">
        <v>358</v>
      </c>
      <c r="C137" t="s">
        <v>359</v>
      </c>
      <c r="D137" t="s">
        <v>105</v>
      </c>
      <c r="E137">
        <v>1400</v>
      </c>
      <c r="F137" t="s">
        <v>360</v>
      </c>
      <c r="G137" s="1">
        <v>45071</v>
      </c>
      <c r="H137" s="1">
        <v>45078</v>
      </c>
      <c r="I137" t="b">
        <v>1</v>
      </c>
      <c r="J137">
        <v>108.83</v>
      </c>
      <c r="K137" s="1">
        <v>45679</v>
      </c>
      <c r="L137">
        <v>33.671199999999999</v>
      </c>
      <c r="M137" s="1">
        <v>45078</v>
      </c>
      <c r="N137">
        <v>82.87</v>
      </c>
      <c r="O137" s="1">
        <v>46204</v>
      </c>
      <c r="P137">
        <v>773</v>
      </c>
      <c r="Q137" t="s">
        <v>21</v>
      </c>
      <c r="R137" t="str">
        <f t="shared" si="4"/>
        <v>has made new highs</v>
      </c>
      <c r="S137" s="15">
        <f t="shared" si="5"/>
        <v>2.2321390387036995</v>
      </c>
    </row>
    <row r="138" spans="1:19" x14ac:dyDescent="0.35">
      <c r="A138" t="s">
        <v>361</v>
      </c>
      <c r="B138" t="s">
        <v>361</v>
      </c>
      <c r="C138" t="s">
        <v>362</v>
      </c>
      <c r="D138" t="s">
        <v>105</v>
      </c>
      <c r="G138" s="1">
        <v>44462</v>
      </c>
      <c r="H138" s="1">
        <v>44803</v>
      </c>
      <c r="I138" t="b">
        <v>1</v>
      </c>
      <c r="J138">
        <v>41.7</v>
      </c>
      <c r="K138" s="1">
        <v>46083</v>
      </c>
      <c r="L138">
        <v>10.7</v>
      </c>
      <c r="M138" s="1">
        <v>44875</v>
      </c>
      <c r="N138">
        <v>30.18</v>
      </c>
      <c r="O138" s="1">
        <v>46204</v>
      </c>
      <c r="P138">
        <v>962</v>
      </c>
      <c r="Q138" t="s">
        <v>21</v>
      </c>
      <c r="R138" t="str">
        <f t="shared" si="4"/>
        <v>has made new highs</v>
      </c>
      <c r="S138" s="15">
        <f t="shared" si="5"/>
        <v>2.8971962616822435</v>
      </c>
    </row>
    <row r="139" spans="1:19" x14ac:dyDescent="0.35">
      <c r="A139" t="s">
        <v>363</v>
      </c>
      <c r="B139" t="s">
        <v>363</v>
      </c>
      <c r="C139" t="s">
        <v>364</v>
      </c>
      <c r="D139" t="s">
        <v>37</v>
      </c>
      <c r="G139" s="1">
        <v>44876</v>
      </c>
      <c r="H139" s="1">
        <v>44876</v>
      </c>
      <c r="I139" t="b">
        <v>0</v>
      </c>
      <c r="J139">
        <v>43.172499999999999</v>
      </c>
      <c r="K139" s="1">
        <v>45995</v>
      </c>
      <c r="L139">
        <v>11.0166</v>
      </c>
      <c r="M139" s="1">
        <v>44881</v>
      </c>
      <c r="N139">
        <v>32.869999999999997</v>
      </c>
      <c r="O139" s="1">
        <v>46204</v>
      </c>
      <c r="P139">
        <v>910</v>
      </c>
      <c r="Q139" t="s">
        <v>21</v>
      </c>
      <c r="R139" t="str">
        <f t="shared" si="4"/>
        <v>has made new highs</v>
      </c>
      <c r="S139" s="15">
        <f t="shared" si="5"/>
        <v>2.9188588130639217</v>
      </c>
    </row>
    <row r="140" spans="1:19" x14ac:dyDescent="0.35">
      <c r="A140" t="s">
        <v>365</v>
      </c>
      <c r="B140" t="s">
        <v>365</v>
      </c>
      <c r="C140" t="s">
        <v>366</v>
      </c>
      <c r="D140" t="s">
        <v>68</v>
      </c>
      <c r="E140">
        <v>3851</v>
      </c>
      <c r="F140" t="s">
        <v>367</v>
      </c>
      <c r="G140" s="1">
        <v>44687</v>
      </c>
      <c r="H140" s="1">
        <v>44687</v>
      </c>
      <c r="I140" t="b">
        <v>0</v>
      </c>
      <c r="J140">
        <v>21.95</v>
      </c>
      <c r="K140" s="1">
        <v>45107</v>
      </c>
      <c r="L140">
        <v>10.45</v>
      </c>
      <c r="M140" s="1">
        <v>45777</v>
      </c>
      <c r="N140">
        <v>16.55</v>
      </c>
      <c r="O140" s="1">
        <v>46204</v>
      </c>
      <c r="P140">
        <v>1041</v>
      </c>
      <c r="Q140" t="s">
        <v>21</v>
      </c>
      <c r="R140" t="str">
        <f t="shared" si="4"/>
        <v>has not made new highs</v>
      </c>
      <c r="S140" s="15">
        <f t="shared" si="5"/>
        <v>1.1004784688995215</v>
      </c>
    </row>
    <row r="141" spans="1:19" x14ac:dyDescent="0.35">
      <c r="A141" t="s">
        <v>368</v>
      </c>
      <c r="B141" t="s">
        <v>368</v>
      </c>
      <c r="C141" t="s">
        <v>369</v>
      </c>
      <c r="D141" t="s">
        <v>27</v>
      </c>
      <c r="E141">
        <v>7374</v>
      </c>
      <c r="F141" t="s">
        <v>90</v>
      </c>
      <c r="G141" s="1">
        <v>44781</v>
      </c>
      <c r="H141" s="1">
        <v>44781</v>
      </c>
      <c r="I141" t="b">
        <v>0</v>
      </c>
      <c r="J141">
        <v>46.75</v>
      </c>
      <c r="K141" s="1">
        <v>45945</v>
      </c>
      <c r="L141">
        <v>0.3962</v>
      </c>
      <c r="M141" s="1">
        <v>45054</v>
      </c>
      <c r="N141">
        <v>23.5</v>
      </c>
      <c r="O141" s="1">
        <v>46204</v>
      </c>
      <c r="P141">
        <v>978</v>
      </c>
      <c r="Q141" t="s">
        <v>21</v>
      </c>
      <c r="R141" t="str">
        <f t="shared" si="4"/>
        <v>has made new highs</v>
      </c>
      <c r="S141" s="15">
        <f t="shared" si="5"/>
        <v>116.99596163553761</v>
      </c>
    </row>
    <row r="142" spans="1:19" x14ac:dyDescent="0.35">
      <c r="A142" t="s">
        <v>370</v>
      </c>
      <c r="B142" t="s">
        <v>370</v>
      </c>
      <c r="C142" t="s">
        <v>371</v>
      </c>
      <c r="D142" t="s">
        <v>27</v>
      </c>
      <c r="E142">
        <v>7370</v>
      </c>
      <c r="F142" t="s">
        <v>34</v>
      </c>
      <c r="G142" s="1">
        <v>44883</v>
      </c>
      <c r="H142" s="1">
        <v>44883</v>
      </c>
      <c r="I142" t="b">
        <v>0</v>
      </c>
      <c r="J142">
        <v>71.510000000000005</v>
      </c>
      <c r="K142" s="1">
        <v>44883</v>
      </c>
      <c r="L142">
        <v>4.49</v>
      </c>
      <c r="M142" s="1">
        <v>45152</v>
      </c>
      <c r="N142">
        <v>15.69</v>
      </c>
      <c r="O142" s="1">
        <v>46204</v>
      </c>
      <c r="P142">
        <v>905</v>
      </c>
      <c r="Q142" t="s">
        <v>21</v>
      </c>
      <c r="R142" t="str">
        <f t="shared" si="4"/>
        <v>has not made new highs</v>
      </c>
      <c r="S142" s="15">
        <f t="shared" si="5"/>
        <v>14.92650334075724</v>
      </c>
    </row>
    <row r="143" spans="1:19" x14ac:dyDescent="0.35">
      <c r="A143" t="s">
        <v>372</v>
      </c>
      <c r="B143" t="s">
        <v>372</v>
      </c>
      <c r="C143" t="s">
        <v>373</v>
      </c>
      <c r="D143" t="s">
        <v>45</v>
      </c>
      <c r="E143">
        <v>6311</v>
      </c>
      <c r="F143" t="s">
        <v>120</v>
      </c>
      <c r="G143" s="1">
        <v>44886</v>
      </c>
      <c r="H143" s="1">
        <v>44896</v>
      </c>
      <c r="I143" t="b">
        <v>1</v>
      </c>
      <c r="J143">
        <v>50.75</v>
      </c>
      <c r="K143" s="1">
        <v>45621</v>
      </c>
      <c r="L143">
        <v>14.76</v>
      </c>
      <c r="M143" s="1">
        <v>45050</v>
      </c>
      <c r="N143">
        <v>27.27</v>
      </c>
      <c r="O143" s="1">
        <v>46204</v>
      </c>
      <c r="P143">
        <v>897</v>
      </c>
      <c r="Q143" t="s">
        <v>21</v>
      </c>
      <c r="R143" t="str">
        <f t="shared" si="4"/>
        <v>has made new highs</v>
      </c>
      <c r="S143" s="15">
        <f t="shared" si="5"/>
        <v>2.4383468834688347</v>
      </c>
    </row>
    <row r="144" spans="1:19" x14ac:dyDescent="0.35">
      <c r="A144" t="s">
        <v>374</v>
      </c>
      <c r="B144" t="s">
        <v>374</v>
      </c>
      <c r="C144" t="s">
        <v>375</v>
      </c>
      <c r="D144" t="s">
        <v>27</v>
      </c>
      <c r="E144">
        <v>7372</v>
      </c>
      <c r="F144" t="s">
        <v>20</v>
      </c>
      <c r="G144" s="1">
        <v>44461</v>
      </c>
      <c r="H144" s="1">
        <v>44461</v>
      </c>
      <c r="I144" t="b">
        <v>0</v>
      </c>
      <c r="J144">
        <v>53.355899999999998</v>
      </c>
      <c r="K144" s="1">
        <v>44502</v>
      </c>
      <c r="L144">
        <v>6.79</v>
      </c>
      <c r="M144" s="1">
        <v>46065</v>
      </c>
      <c r="N144">
        <v>10.41</v>
      </c>
      <c r="O144" s="1">
        <v>46204</v>
      </c>
      <c r="P144">
        <v>1198</v>
      </c>
      <c r="Q144" t="s">
        <v>21</v>
      </c>
      <c r="R144" t="str">
        <f t="shared" si="4"/>
        <v>has not made new highs</v>
      </c>
      <c r="S144" s="15">
        <f t="shared" si="5"/>
        <v>6.8580117820324</v>
      </c>
    </row>
    <row r="145" spans="1:19" x14ac:dyDescent="0.35">
      <c r="A145" t="s">
        <v>376</v>
      </c>
      <c r="B145" t="s">
        <v>376</v>
      </c>
      <c r="C145" t="s">
        <v>377</v>
      </c>
      <c r="D145" t="s">
        <v>64</v>
      </c>
      <c r="G145" s="1">
        <v>45126</v>
      </c>
      <c r="H145" s="1">
        <v>45126</v>
      </c>
      <c r="I145" t="b">
        <v>0</v>
      </c>
      <c r="J145">
        <v>79.180400000000006</v>
      </c>
      <c r="K145" s="1">
        <v>45811</v>
      </c>
      <c r="L145">
        <v>9.2500999999999998</v>
      </c>
      <c r="M145" s="1">
        <v>46176</v>
      </c>
      <c r="N145">
        <v>17.010000000000002</v>
      </c>
      <c r="O145" s="1">
        <v>46204</v>
      </c>
      <c r="P145">
        <v>741</v>
      </c>
      <c r="Q145" t="s">
        <v>21</v>
      </c>
      <c r="R145" t="str">
        <f t="shared" si="4"/>
        <v>has not made new highs</v>
      </c>
      <c r="S145" s="15">
        <f t="shared" si="5"/>
        <v>7.559950703235641</v>
      </c>
    </row>
    <row r="146" spans="1:19" x14ac:dyDescent="0.35">
      <c r="A146" t="s">
        <v>378</v>
      </c>
      <c r="B146" t="s">
        <v>378</v>
      </c>
      <c r="C146" t="s">
        <v>379</v>
      </c>
      <c r="D146" t="s">
        <v>24</v>
      </c>
      <c r="E146">
        <v>1381</v>
      </c>
      <c r="F146" t="s">
        <v>380</v>
      </c>
      <c r="G146" s="1">
        <v>44834</v>
      </c>
      <c r="H146" s="1">
        <v>44834</v>
      </c>
      <c r="I146" t="b">
        <v>0</v>
      </c>
      <c r="J146">
        <v>55.34</v>
      </c>
      <c r="K146" s="1">
        <v>45174</v>
      </c>
      <c r="L146">
        <v>17.399999999999999</v>
      </c>
      <c r="M146" s="1">
        <v>45754</v>
      </c>
      <c r="N146">
        <v>37.08</v>
      </c>
      <c r="O146" s="1">
        <v>46204</v>
      </c>
      <c r="P146">
        <v>940</v>
      </c>
      <c r="Q146" t="s">
        <v>21</v>
      </c>
      <c r="R146" t="str">
        <f t="shared" si="4"/>
        <v>has not made new highs</v>
      </c>
      <c r="S146" s="15">
        <f t="shared" si="5"/>
        <v>2.1804597701149429</v>
      </c>
    </row>
    <row r="147" spans="1:19" x14ac:dyDescent="0.35">
      <c r="A147" t="s">
        <v>381</v>
      </c>
      <c r="B147" t="s">
        <v>381</v>
      </c>
      <c r="C147" t="s">
        <v>382</v>
      </c>
      <c r="D147" t="s">
        <v>45</v>
      </c>
      <c r="E147">
        <v>7372</v>
      </c>
      <c r="F147" t="s">
        <v>20</v>
      </c>
      <c r="G147" s="1">
        <v>44377</v>
      </c>
      <c r="H147" s="1">
        <v>44379</v>
      </c>
      <c r="I147" t="b">
        <v>1</v>
      </c>
      <c r="J147">
        <v>77.739999999999995</v>
      </c>
      <c r="K147" s="1">
        <v>45702</v>
      </c>
      <c r="L147">
        <v>13.52</v>
      </c>
      <c r="M147" s="1">
        <v>44729</v>
      </c>
      <c r="N147">
        <v>26.35</v>
      </c>
      <c r="O147" s="1">
        <v>46204</v>
      </c>
      <c r="P147">
        <v>1254</v>
      </c>
      <c r="Q147" t="s">
        <v>21</v>
      </c>
      <c r="R147" t="str">
        <f t="shared" si="4"/>
        <v>has made new highs</v>
      </c>
      <c r="S147" s="15">
        <f t="shared" si="5"/>
        <v>4.75</v>
      </c>
    </row>
    <row r="148" spans="1:19" x14ac:dyDescent="0.35">
      <c r="A148" t="s">
        <v>383</v>
      </c>
      <c r="B148" t="s">
        <v>383</v>
      </c>
      <c r="C148" t="s">
        <v>384</v>
      </c>
      <c r="D148" t="s">
        <v>68</v>
      </c>
      <c r="E148">
        <v>8082</v>
      </c>
      <c r="F148" t="s">
        <v>385</v>
      </c>
      <c r="G148" s="1">
        <v>45317</v>
      </c>
      <c r="H148" s="1">
        <v>45317</v>
      </c>
      <c r="I148" t="b">
        <v>0</v>
      </c>
      <c r="J148">
        <v>70.72</v>
      </c>
      <c r="K148" s="1">
        <v>46199</v>
      </c>
      <c r="L148">
        <v>7.85</v>
      </c>
      <c r="M148" s="1">
        <v>45366</v>
      </c>
      <c r="N148">
        <v>69.849999999999994</v>
      </c>
      <c r="O148" s="1">
        <v>46204</v>
      </c>
      <c r="P148">
        <v>609</v>
      </c>
      <c r="Q148" t="s">
        <v>21</v>
      </c>
      <c r="R148" t="str">
        <f t="shared" si="4"/>
        <v>has made new highs</v>
      </c>
      <c r="S148" s="15">
        <f t="shared" si="5"/>
        <v>8.0089171974522291</v>
      </c>
    </row>
    <row r="149" spans="1:19" x14ac:dyDescent="0.35">
      <c r="A149" t="s">
        <v>386</v>
      </c>
      <c r="B149" t="s">
        <v>386</v>
      </c>
      <c r="C149" t="s">
        <v>387</v>
      </c>
      <c r="D149" t="s">
        <v>24</v>
      </c>
      <c r="E149">
        <v>1311</v>
      </c>
      <c r="F149" t="s">
        <v>87</v>
      </c>
      <c r="G149" s="1">
        <v>44132</v>
      </c>
      <c r="H149" s="1">
        <v>44379</v>
      </c>
      <c r="I149" t="b">
        <v>1</v>
      </c>
      <c r="J149">
        <v>71.98</v>
      </c>
      <c r="K149" s="1">
        <v>46112</v>
      </c>
      <c r="L149">
        <v>24.880099999999999</v>
      </c>
      <c r="M149" s="1">
        <v>44397</v>
      </c>
      <c r="N149">
        <v>51.75</v>
      </c>
      <c r="O149" s="1">
        <v>46204</v>
      </c>
      <c r="P149">
        <v>1254</v>
      </c>
      <c r="Q149" t="s">
        <v>21</v>
      </c>
      <c r="R149" t="str">
        <f t="shared" si="4"/>
        <v>has made new highs</v>
      </c>
      <c r="S149" s="15">
        <f t="shared" si="5"/>
        <v>1.8930751886045478</v>
      </c>
    </row>
    <row r="150" spans="1:19" x14ac:dyDescent="0.35">
      <c r="A150" t="s">
        <v>388</v>
      </c>
      <c r="B150" t="s">
        <v>388</v>
      </c>
      <c r="C150" t="s">
        <v>389</v>
      </c>
      <c r="D150" t="s">
        <v>45</v>
      </c>
      <c r="E150">
        <v>7389</v>
      </c>
      <c r="F150" t="s">
        <v>38</v>
      </c>
      <c r="G150" s="1">
        <v>44342</v>
      </c>
      <c r="H150" s="1">
        <v>44379</v>
      </c>
      <c r="I150" t="b">
        <v>1</v>
      </c>
      <c r="J150">
        <v>40.432600000000001</v>
      </c>
      <c r="K150" s="1">
        <v>45793</v>
      </c>
      <c r="L150">
        <v>6.75</v>
      </c>
      <c r="M150" s="1">
        <v>44922</v>
      </c>
      <c r="N150">
        <v>25.41</v>
      </c>
      <c r="O150" s="1">
        <v>46204</v>
      </c>
      <c r="P150">
        <v>1254</v>
      </c>
      <c r="Q150" t="s">
        <v>21</v>
      </c>
      <c r="R150" t="str">
        <f t="shared" si="4"/>
        <v>has made new highs</v>
      </c>
      <c r="S150" s="15">
        <f t="shared" si="5"/>
        <v>4.9900148148148151</v>
      </c>
    </row>
    <row r="151" spans="1:19" x14ac:dyDescent="0.35">
      <c r="A151" t="s">
        <v>390</v>
      </c>
      <c r="B151" t="s">
        <v>391</v>
      </c>
      <c r="C151" t="s">
        <v>392</v>
      </c>
      <c r="D151" t="s">
        <v>27</v>
      </c>
      <c r="E151">
        <v>7320</v>
      </c>
      <c r="F151" t="s">
        <v>393</v>
      </c>
      <c r="G151" s="1">
        <v>44013</v>
      </c>
      <c r="H151" s="1">
        <v>44379</v>
      </c>
      <c r="I151" t="b">
        <v>1</v>
      </c>
      <c r="J151">
        <v>21.91</v>
      </c>
      <c r="K151" s="1">
        <v>44379</v>
      </c>
      <c r="L151">
        <v>7.78</v>
      </c>
      <c r="M151" s="1">
        <v>45729</v>
      </c>
      <c r="N151">
        <v>9.15</v>
      </c>
      <c r="O151" s="1">
        <v>45894</v>
      </c>
      <c r="P151">
        <v>1041</v>
      </c>
      <c r="Q151" t="s">
        <v>21</v>
      </c>
      <c r="R151" t="str">
        <f t="shared" si="4"/>
        <v>has not made new highs</v>
      </c>
      <c r="S151" s="15">
        <f t="shared" si="5"/>
        <v>1.8161953727506426</v>
      </c>
    </row>
    <row r="152" spans="1:19" x14ac:dyDescent="0.35">
      <c r="A152" t="s">
        <v>394</v>
      </c>
      <c r="B152" t="s">
        <v>394</v>
      </c>
      <c r="C152" t="s">
        <v>395</v>
      </c>
      <c r="D152" t="s">
        <v>27</v>
      </c>
      <c r="E152">
        <v>7370</v>
      </c>
      <c r="F152" t="s">
        <v>34</v>
      </c>
      <c r="G152" s="1">
        <v>44823</v>
      </c>
      <c r="H152" s="1">
        <v>44823</v>
      </c>
      <c r="I152" t="b">
        <v>0</v>
      </c>
      <c r="J152">
        <v>17.399999999999999</v>
      </c>
      <c r="K152" s="1">
        <v>45653</v>
      </c>
      <c r="L152">
        <v>3.33</v>
      </c>
      <c r="M152" s="1">
        <v>45303</v>
      </c>
      <c r="N152">
        <v>6.28</v>
      </c>
      <c r="O152" s="1">
        <v>46204</v>
      </c>
      <c r="P152">
        <v>949</v>
      </c>
      <c r="Q152" t="s">
        <v>21</v>
      </c>
      <c r="R152" t="str">
        <f t="shared" si="4"/>
        <v>has made new highs</v>
      </c>
      <c r="S152" s="15">
        <f t="shared" si="5"/>
        <v>4.2252252252252243</v>
      </c>
    </row>
    <row r="153" spans="1:19" x14ac:dyDescent="0.35">
      <c r="A153" t="s">
        <v>400</v>
      </c>
      <c r="B153" t="s">
        <v>400</v>
      </c>
      <c r="C153" t="s">
        <v>401</v>
      </c>
      <c r="D153" t="s">
        <v>27</v>
      </c>
      <c r="E153">
        <v>7372</v>
      </c>
      <c r="F153" t="s">
        <v>20</v>
      </c>
      <c r="G153" s="1">
        <v>44379</v>
      </c>
      <c r="H153" s="1">
        <v>44379</v>
      </c>
      <c r="I153" t="b">
        <v>0</v>
      </c>
      <c r="J153">
        <v>20.245000000000001</v>
      </c>
      <c r="K153" s="1">
        <v>45790</v>
      </c>
      <c r="L153">
        <v>3.4</v>
      </c>
      <c r="M153" s="1">
        <v>44847</v>
      </c>
      <c r="N153">
        <v>11.44</v>
      </c>
      <c r="O153" s="1">
        <v>46204</v>
      </c>
      <c r="P153">
        <v>1254</v>
      </c>
      <c r="Q153" t="s">
        <v>21</v>
      </c>
      <c r="R153" t="str">
        <f t="shared" si="4"/>
        <v>has made new highs</v>
      </c>
      <c r="S153" s="15">
        <f t="shared" si="5"/>
        <v>4.954411764705883</v>
      </c>
    </row>
    <row r="154" spans="1:19" x14ac:dyDescent="0.35">
      <c r="A154" t="s">
        <v>402</v>
      </c>
      <c r="B154" t="s">
        <v>402</v>
      </c>
      <c r="C154" t="s">
        <v>403</v>
      </c>
      <c r="D154" t="s">
        <v>27</v>
      </c>
      <c r="E154">
        <v>7372</v>
      </c>
      <c r="F154" t="s">
        <v>20</v>
      </c>
      <c r="G154" s="1">
        <v>44679</v>
      </c>
      <c r="H154" s="1">
        <v>44679</v>
      </c>
      <c r="I154" t="b">
        <v>0</v>
      </c>
      <c r="J154">
        <v>24.98</v>
      </c>
      <c r="K154" s="1">
        <v>45652</v>
      </c>
      <c r="L154">
        <v>0.93</v>
      </c>
      <c r="M154" s="1">
        <v>44917</v>
      </c>
      <c r="N154">
        <v>6.68</v>
      </c>
      <c r="O154" s="1">
        <v>46204</v>
      </c>
      <c r="P154">
        <v>1047</v>
      </c>
      <c r="Q154" t="s">
        <v>21</v>
      </c>
      <c r="R154" t="str">
        <f t="shared" si="4"/>
        <v>has made new highs</v>
      </c>
      <c r="S154" s="15">
        <f t="shared" si="5"/>
        <v>25.86021505376344</v>
      </c>
    </row>
    <row r="155" spans="1:19" x14ac:dyDescent="0.35">
      <c r="A155" t="s">
        <v>404</v>
      </c>
      <c r="B155" t="s">
        <v>404</v>
      </c>
      <c r="C155" t="s">
        <v>405</v>
      </c>
      <c r="D155" t="s">
        <v>19</v>
      </c>
      <c r="G155" s="1">
        <v>44439</v>
      </c>
      <c r="H155" s="1">
        <v>44439</v>
      </c>
      <c r="I155" t="b">
        <v>0</v>
      </c>
      <c r="J155">
        <v>26.3</v>
      </c>
      <c r="K155" s="1">
        <v>45694</v>
      </c>
      <c r="L155">
        <v>3.8</v>
      </c>
      <c r="M155" s="1">
        <v>44837</v>
      </c>
      <c r="N155">
        <v>15.45</v>
      </c>
      <c r="O155" s="1">
        <v>46204</v>
      </c>
      <c r="P155">
        <v>1213</v>
      </c>
      <c r="Q155" t="s">
        <v>21</v>
      </c>
      <c r="R155" t="str">
        <f t="shared" si="4"/>
        <v>has made new highs</v>
      </c>
      <c r="S155" s="15">
        <f t="shared" si="5"/>
        <v>5.9210526315789478</v>
      </c>
    </row>
    <row r="156" spans="1:19" x14ac:dyDescent="0.35">
      <c r="A156" t="s">
        <v>406</v>
      </c>
      <c r="B156" t="s">
        <v>406</v>
      </c>
      <c r="C156" t="s">
        <v>407</v>
      </c>
      <c r="D156" t="s">
        <v>45</v>
      </c>
      <c r="E156">
        <v>7389</v>
      </c>
      <c r="F156" t="s">
        <v>38</v>
      </c>
      <c r="G156" s="1">
        <v>44462</v>
      </c>
      <c r="H156" s="1">
        <v>44462</v>
      </c>
      <c r="I156" t="b">
        <v>0</v>
      </c>
      <c r="J156">
        <v>53.65</v>
      </c>
      <c r="K156" s="1">
        <v>44462</v>
      </c>
      <c r="L156">
        <v>6.66</v>
      </c>
      <c r="M156" s="1">
        <v>44693</v>
      </c>
      <c r="N156">
        <v>22.95</v>
      </c>
      <c r="O156" s="1">
        <v>46204</v>
      </c>
      <c r="P156">
        <v>1197</v>
      </c>
      <c r="Q156" t="s">
        <v>21</v>
      </c>
      <c r="R156" t="str">
        <f t="shared" si="4"/>
        <v>has not made new highs</v>
      </c>
      <c r="S156" s="15">
        <f t="shared" si="5"/>
        <v>7.0555555555555545</v>
      </c>
    </row>
    <row r="157" spans="1:19" x14ac:dyDescent="0.35">
      <c r="A157" t="s">
        <v>408</v>
      </c>
      <c r="B157" t="s">
        <v>408</v>
      </c>
      <c r="C157" t="s">
        <v>409</v>
      </c>
      <c r="D157" t="s">
        <v>27</v>
      </c>
      <c r="E157">
        <v>7372</v>
      </c>
      <c r="F157" t="s">
        <v>20</v>
      </c>
      <c r="G157" s="1">
        <v>44377</v>
      </c>
      <c r="H157" s="1">
        <v>44379</v>
      </c>
      <c r="I157" t="b">
        <v>1</v>
      </c>
      <c r="J157">
        <v>65.7</v>
      </c>
      <c r="K157" s="1">
        <v>44417</v>
      </c>
      <c r="L157">
        <v>15.280099999999999</v>
      </c>
      <c r="M157" s="1">
        <v>45205</v>
      </c>
      <c r="N157">
        <v>55.66</v>
      </c>
      <c r="O157" s="1">
        <v>46204</v>
      </c>
      <c r="P157">
        <v>1254</v>
      </c>
      <c r="Q157" t="s">
        <v>21</v>
      </c>
      <c r="R157" t="str">
        <f t="shared" si="4"/>
        <v>has not made new highs</v>
      </c>
      <c r="S157" s="15">
        <f t="shared" si="5"/>
        <v>3.2997100804314115</v>
      </c>
    </row>
    <row r="158" spans="1:19" x14ac:dyDescent="0.35">
      <c r="A158" t="s">
        <v>410</v>
      </c>
      <c r="B158" t="s">
        <v>410</v>
      </c>
      <c r="C158" t="s">
        <v>411</v>
      </c>
      <c r="D158" t="s">
        <v>30</v>
      </c>
      <c r="E158">
        <v>3690</v>
      </c>
      <c r="F158" t="s">
        <v>412</v>
      </c>
      <c r="G158" s="1">
        <v>44162</v>
      </c>
      <c r="H158" s="1">
        <v>44379</v>
      </c>
      <c r="I158" t="b">
        <v>1</v>
      </c>
      <c r="J158">
        <v>43.08</v>
      </c>
      <c r="K158" s="1">
        <v>44515</v>
      </c>
      <c r="L158">
        <v>3.4</v>
      </c>
      <c r="M158" s="1">
        <v>45755</v>
      </c>
      <c r="N158">
        <v>7.61</v>
      </c>
      <c r="O158" s="1">
        <v>46204</v>
      </c>
      <c r="P158">
        <v>1254</v>
      </c>
      <c r="Q158" t="s">
        <v>21</v>
      </c>
      <c r="R158" t="str">
        <f t="shared" si="4"/>
        <v>has not made new highs</v>
      </c>
      <c r="S158" s="15">
        <f t="shared" si="5"/>
        <v>11.670588235294117</v>
      </c>
    </row>
    <row r="159" spans="1:19" x14ac:dyDescent="0.35">
      <c r="A159" t="s">
        <v>413</v>
      </c>
      <c r="B159" t="s">
        <v>413</v>
      </c>
      <c r="C159" t="s">
        <v>414</v>
      </c>
      <c r="D159" t="s">
        <v>24</v>
      </c>
      <c r="E159">
        <v>1311</v>
      </c>
      <c r="F159" t="s">
        <v>87</v>
      </c>
      <c r="G159" s="1">
        <v>44334</v>
      </c>
      <c r="H159" s="1">
        <v>44379</v>
      </c>
      <c r="I159" t="b">
        <v>1</v>
      </c>
      <c r="J159">
        <v>225.78</v>
      </c>
      <c r="K159" s="1">
        <v>45992</v>
      </c>
      <c r="L159">
        <v>60.15</v>
      </c>
      <c r="M159" s="1">
        <v>44965</v>
      </c>
      <c r="N159">
        <v>165.41</v>
      </c>
      <c r="O159" s="1">
        <v>46204</v>
      </c>
      <c r="P159">
        <v>1254</v>
      </c>
      <c r="Q159" t="s">
        <v>21</v>
      </c>
      <c r="R159" t="str">
        <f t="shared" si="4"/>
        <v>has made new highs</v>
      </c>
      <c r="S159" s="15">
        <f t="shared" si="5"/>
        <v>2.7536159600997507</v>
      </c>
    </row>
    <row r="160" spans="1:19" x14ac:dyDescent="0.35">
      <c r="A160" t="s">
        <v>415</v>
      </c>
      <c r="B160" t="s">
        <v>416</v>
      </c>
      <c r="C160" t="s">
        <v>417</v>
      </c>
      <c r="D160" t="s">
        <v>68</v>
      </c>
      <c r="E160">
        <v>2836</v>
      </c>
      <c r="F160" t="s">
        <v>418</v>
      </c>
      <c r="G160" s="1">
        <v>44596</v>
      </c>
      <c r="H160" s="1">
        <v>44596</v>
      </c>
      <c r="I160" t="b">
        <v>0</v>
      </c>
      <c r="J160">
        <v>115.13</v>
      </c>
      <c r="K160" s="1">
        <v>46128</v>
      </c>
      <c r="L160">
        <v>6.0350000000000001</v>
      </c>
      <c r="M160" s="1">
        <v>44698</v>
      </c>
      <c r="N160">
        <v>115.07</v>
      </c>
      <c r="O160" s="1">
        <v>46139</v>
      </c>
      <c r="P160">
        <v>1059</v>
      </c>
      <c r="Q160" t="s">
        <v>21</v>
      </c>
      <c r="R160" t="str">
        <f t="shared" si="4"/>
        <v>has made new highs</v>
      </c>
      <c r="S160" s="15">
        <f t="shared" si="5"/>
        <v>18.077050538525267</v>
      </c>
    </row>
    <row r="161" spans="1:19" x14ac:dyDescent="0.35">
      <c r="A161" t="s">
        <v>419</v>
      </c>
      <c r="B161" t="s">
        <v>419</v>
      </c>
      <c r="C161" t="s">
        <v>420</v>
      </c>
      <c r="D161" t="s">
        <v>64</v>
      </c>
      <c r="G161" s="1">
        <v>45331</v>
      </c>
      <c r="H161" s="1">
        <v>45331</v>
      </c>
      <c r="I161" t="b">
        <v>0</v>
      </c>
      <c r="J161">
        <v>43.81</v>
      </c>
      <c r="K161" s="1">
        <v>46191</v>
      </c>
      <c r="L161">
        <v>18.71</v>
      </c>
      <c r="M161" s="1">
        <v>45334</v>
      </c>
      <c r="N161">
        <v>41.66</v>
      </c>
      <c r="O161" s="1">
        <v>46204</v>
      </c>
      <c r="P161">
        <v>599</v>
      </c>
      <c r="Q161" t="s">
        <v>21</v>
      </c>
      <c r="R161" t="str">
        <f t="shared" si="4"/>
        <v>has made new highs</v>
      </c>
      <c r="S161" s="15">
        <f t="shared" si="5"/>
        <v>1.3415285943345805</v>
      </c>
    </row>
    <row r="162" spans="1:19" x14ac:dyDescent="0.35">
      <c r="A162" t="s">
        <v>421</v>
      </c>
      <c r="B162" t="s">
        <v>421</v>
      </c>
      <c r="C162" t="s">
        <v>422</v>
      </c>
      <c r="D162" t="s">
        <v>84</v>
      </c>
      <c r="G162" s="1">
        <v>44550</v>
      </c>
      <c r="H162" s="1">
        <v>44550</v>
      </c>
      <c r="I162" t="b">
        <v>0</v>
      </c>
      <c r="J162">
        <v>16.36</v>
      </c>
      <c r="K162" s="1">
        <v>45148</v>
      </c>
      <c r="L162">
        <v>6.05</v>
      </c>
      <c r="M162" s="1">
        <v>45756</v>
      </c>
      <c r="N162">
        <v>12.99</v>
      </c>
      <c r="O162" s="1">
        <v>46204</v>
      </c>
      <c r="P162">
        <v>1136</v>
      </c>
      <c r="Q162" t="s">
        <v>21</v>
      </c>
      <c r="R162" t="str">
        <f t="shared" si="4"/>
        <v>has not made new highs</v>
      </c>
      <c r="S162" s="15">
        <f t="shared" si="5"/>
        <v>1.7041322314049585</v>
      </c>
    </row>
    <row r="163" spans="1:19" x14ac:dyDescent="0.35">
      <c r="A163" t="s">
        <v>423</v>
      </c>
      <c r="B163" t="s">
        <v>423</v>
      </c>
      <c r="C163" t="s">
        <v>424</v>
      </c>
      <c r="D163" t="s">
        <v>27</v>
      </c>
      <c r="E163">
        <v>7372</v>
      </c>
      <c r="F163" t="s">
        <v>20</v>
      </c>
      <c r="G163" s="1">
        <v>44357</v>
      </c>
      <c r="H163" s="1">
        <v>44379</v>
      </c>
      <c r="I163" t="b">
        <v>1</v>
      </c>
      <c r="J163">
        <v>38.200000000000003</v>
      </c>
      <c r="K163" s="1">
        <v>45607</v>
      </c>
      <c r="L163">
        <v>4.09</v>
      </c>
      <c r="M163" s="1">
        <v>44747</v>
      </c>
      <c r="N163">
        <v>20.84</v>
      </c>
      <c r="O163" s="1">
        <v>46204</v>
      </c>
      <c r="P163">
        <v>1254</v>
      </c>
      <c r="Q163" t="s">
        <v>21</v>
      </c>
      <c r="R163" t="str">
        <f t="shared" si="4"/>
        <v>has made new highs</v>
      </c>
      <c r="S163" s="15">
        <f t="shared" si="5"/>
        <v>8.3398533007334965</v>
      </c>
    </row>
    <row r="164" spans="1:19" x14ac:dyDescent="0.35">
      <c r="A164" t="s">
        <v>425</v>
      </c>
      <c r="B164" t="s">
        <v>425</v>
      </c>
      <c r="C164" t="s">
        <v>426</v>
      </c>
      <c r="D164" t="s">
        <v>45</v>
      </c>
      <c r="E164">
        <v>6199</v>
      </c>
      <c r="F164" t="s">
        <v>46</v>
      </c>
      <c r="G164" s="1">
        <v>44517</v>
      </c>
      <c r="H164" s="1">
        <v>44517</v>
      </c>
      <c r="I164" t="b">
        <v>0</v>
      </c>
      <c r="J164">
        <v>76.87</v>
      </c>
      <c r="K164" s="1">
        <v>45966</v>
      </c>
      <c r="L164">
        <v>1.02</v>
      </c>
      <c r="M164" s="1">
        <v>44923</v>
      </c>
      <c r="N164">
        <v>43.32</v>
      </c>
      <c r="O164" s="1">
        <v>46204</v>
      </c>
      <c r="P164">
        <v>1158</v>
      </c>
      <c r="Q164" t="s">
        <v>21</v>
      </c>
      <c r="R164" t="str">
        <f t="shared" si="4"/>
        <v>has made new highs</v>
      </c>
      <c r="S164" s="15">
        <f t="shared" si="5"/>
        <v>74.362745098039227</v>
      </c>
    </row>
    <row r="165" spans="1:19" x14ac:dyDescent="0.35">
      <c r="A165" t="s">
        <v>427</v>
      </c>
      <c r="B165" t="s">
        <v>427</v>
      </c>
      <c r="C165" t="s">
        <v>428</v>
      </c>
      <c r="D165" t="s">
        <v>37</v>
      </c>
      <c r="E165">
        <v>7990</v>
      </c>
      <c r="F165" t="s">
        <v>429</v>
      </c>
      <c r="G165" s="1">
        <v>44195</v>
      </c>
      <c r="H165" s="1">
        <v>44379</v>
      </c>
      <c r="I165" t="b">
        <v>1</v>
      </c>
      <c r="J165">
        <v>31.85</v>
      </c>
      <c r="K165" s="1">
        <v>46202</v>
      </c>
      <c r="L165">
        <v>2.77</v>
      </c>
      <c r="M165" s="1">
        <v>45022</v>
      </c>
      <c r="N165">
        <v>31.26</v>
      </c>
      <c r="O165" s="1">
        <v>46204</v>
      </c>
      <c r="P165">
        <v>1254</v>
      </c>
      <c r="Q165" t="s">
        <v>21</v>
      </c>
      <c r="R165" t="str">
        <f t="shared" si="4"/>
        <v>has made new highs</v>
      </c>
      <c r="S165" s="15">
        <f t="shared" si="5"/>
        <v>10.498194945848375</v>
      </c>
    </row>
    <row r="166" spans="1:19" x14ac:dyDescent="0.35">
      <c r="A166" t="s">
        <v>430</v>
      </c>
      <c r="B166" t="s">
        <v>430</v>
      </c>
      <c r="C166" t="s">
        <v>431</v>
      </c>
      <c r="D166" t="s">
        <v>27</v>
      </c>
      <c r="E166">
        <v>7389</v>
      </c>
      <c r="F166" t="s">
        <v>38</v>
      </c>
      <c r="G166" s="1">
        <v>44151</v>
      </c>
      <c r="H166" s="1">
        <v>44379</v>
      </c>
      <c r="I166" t="b">
        <v>1</v>
      </c>
      <c r="J166">
        <v>208.48</v>
      </c>
      <c r="K166" s="1">
        <v>44602</v>
      </c>
      <c r="L166">
        <v>19.12</v>
      </c>
      <c r="M166" s="1">
        <v>46203</v>
      </c>
      <c r="N166">
        <v>24.41</v>
      </c>
      <c r="O166" s="1">
        <v>46204</v>
      </c>
      <c r="P166">
        <v>1254</v>
      </c>
      <c r="Q166" t="s">
        <v>21</v>
      </c>
      <c r="R166" t="str">
        <f t="shared" si="4"/>
        <v>has not made new highs</v>
      </c>
      <c r="S166" s="15">
        <f t="shared" si="5"/>
        <v>9.9037656903765683</v>
      </c>
    </row>
    <row r="167" spans="1:19" x14ac:dyDescent="0.35">
      <c r="A167" t="s">
        <v>432</v>
      </c>
      <c r="B167" t="s">
        <v>432</v>
      </c>
      <c r="C167" t="s">
        <v>433</v>
      </c>
      <c r="D167" t="s">
        <v>24</v>
      </c>
      <c r="E167">
        <v>4924</v>
      </c>
      <c r="F167" t="s">
        <v>434</v>
      </c>
      <c r="G167" s="1">
        <v>44664</v>
      </c>
      <c r="H167" s="1">
        <v>44664</v>
      </c>
      <c r="I167" t="b">
        <v>0</v>
      </c>
      <c r="J167">
        <v>43.174999999999997</v>
      </c>
      <c r="K167" s="1">
        <v>46084</v>
      </c>
      <c r="L167">
        <v>13.38</v>
      </c>
      <c r="M167" s="1">
        <v>45336</v>
      </c>
      <c r="N167">
        <v>37.979999999999997</v>
      </c>
      <c r="O167" s="1">
        <v>46204</v>
      </c>
      <c r="P167">
        <v>1057</v>
      </c>
      <c r="Q167" t="s">
        <v>21</v>
      </c>
      <c r="R167" t="str">
        <f t="shared" si="4"/>
        <v>has made new highs</v>
      </c>
      <c r="S167" s="15">
        <f t="shared" si="5"/>
        <v>2.2268310911808666</v>
      </c>
    </row>
    <row r="168" spans="1:19" x14ac:dyDescent="0.35">
      <c r="A168" t="s">
        <v>435</v>
      </c>
      <c r="B168" t="s">
        <v>435</v>
      </c>
      <c r="C168" t="s">
        <v>436</v>
      </c>
      <c r="D168" t="s">
        <v>45</v>
      </c>
      <c r="E168">
        <v>6531</v>
      </c>
      <c r="F168" t="s">
        <v>437</v>
      </c>
      <c r="G168" s="1">
        <v>44287</v>
      </c>
      <c r="H168" s="1">
        <v>44379</v>
      </c>
      <c r="I168" t="b">
        <v>1</v>
      </c>
      <c r="J168">
        <v>17.7</v>
      </c>
      <c r="K168" s="1">
        <v>44421</v>
      </c>
      <c r="L168">
        <v>1.8149999999999999</v>
      </c>
      <c r="M168" s="1">
        <v>45231</v>
      </c>
      <c r="N168">
        <v>12.55</v>
      </c>
      <c r="O168" s="1">
        <v>46204</v>
      </c>
      <c r="P168">
        <v>1254</v>
      </c>
      <c r="Q168" t="s">
        <v>21</v>
      </c>
      <c r="R168" t="str">
        <f t="shared" si="4"/>
        <v>has not made new highs</v>
      </c>
      <c r="S168" s="15">
        <f t="shared" si="5"/>
        <v>8.7520661157024797</v>
      </c>
    </row>
    <row r="169" spans="1:19" x14ac:dyDescent="0.35">
      <c r="A169" t="s">
        <v>438</v>
      </c>
      <c r="B169" t="s">
        <v>438</v>
      </c>
      <c r="C169" t="s">
        <v>439</v>
      </c>
      <c r="D169" t="s">
        <v>45</v>
      </c>
      <c r="E169">
        <v>6035</v>
      </c>
      <c r="F169" t="s">
        <v>440</v>
      </c>
      <c r="G169" s="1">
        <v>44119</v>
      </c>
      <c r="H169" s="1">
        <v>44379</v>
      </c>
      <c r="I169" t="b">
        <v>1</v>
      </c>
      <c r="J169">
        <v>22.754999999999999</v>
      </c>
      <c r="K169" s="1">
        <v>46204</v>
      </c>
      <c r="L169">
        <v>9.93</v>
      </c>
      <c r="M169" s="1">
        <v>45050</v>
      </c>
      <c r="N169">
        <v>22.63</v>
      </c>
      <c r="O169" s="1">
        <v>46204</v>
      </c>
      <c r="P169">
        <v>1254</v>
      </c>
      <c r="Q169" t="s">
        <v>21</v>
      </c>
      <c r="R169" t="str">
        <f t="shared" si="4"/>
        <v>has made new highs</v>
      </c>
      <c r="S169" s="15">
        <f t="shared" si="5"/>
        <v>1.2915407854984895</v>
      </c>
    </row>
    <row r="170" spans="1:19" x14ac:dyDescent="0.35">
      <c r="A170" t="s">
        <v>441</v>
      </c>
      <c r="B170" t="s">
        <v>441</v>
      </c>
      <c r="C170" t="s">
        <v>442</v>
      </c>
      <c r="D170" t="s">
        <v>45</v>
      </c>
      <c r="G170" s="1">
        <v>44350</v>
      </c>
      <c r="H170" s="1">
        <v>44379</v>
      </c>
      <c r="I170" t="b">
        <v>1</v>
      </c>
      <c r="J170">
        <v>73.430000000000007</v>
      </c>
      <c r="K170" s="1">
        <v>44440</v>
      </c>
      <c r="L170">
        <v>6.5749000000000004</v>
      </c>
      <c r="M170" s="1">
        <v>45509</v>
      </c>
      <c r="N170">
        <v>14.67</v>
      </c>
      <c r="O170" s="1">
        <v>46204</v>
      </c>
      <c r="P170">
        <v>1254</v>
      </c>
      <c r="Q170" t="s">
        <v>21</v>
      </c>
      <c r="R170" t="str">
        <f t="shared" si="4"/>
        <v>has not made new highs</v>
      </c>
      <c r="S170" s="15">
        <f t="shared" si="5"/>
        <v>10.168230695523887</v>
      </c>
    </row>
    <row r="171" spans="1:19" x14ac:dyDescent="0.35">
      <c r="A171" t="s">
        <v>443</v>
      </c>
      <c r="B171" t="s">
        <v>443</v>
      </c>
      <c r="C171" t="s">
        <v>444</v>
      </c>
      <c r="D171" t="s">
        <v>30</v>
      </c>
      <c r="E171">
        <v>1531</v>
      </c>
      <c r="F171" t="s">
        <v>445</v>
      </c>
      <c r="G171" s="1">
        <v>45593</v>
      </c>
      <c r="H171" s="1">
        <v>45597</v>
      </c>
      <c r="I171" t="b">
        <v>1</v>
      </c>
      <c r="J171">
        <v>171.577</v>
      </c>
      <c r="K171" s="1">
        <v>46148</v>
      </c>
      <c r="L171">
        <v>31.38</v>
      </c>
      <c r="M171" s="1">
        <v>45751</v>
      </c>
      <c r="N171">
        <v>151.02000000000001</v>
      </c>
      <c r="O171" s="1">
        <v>46204</v>
      </c>
      <c r="P171">
        <v>415</v>
      </c>
      <c r="Q171" t="s">
        <v>21</v>
      </c>
      <c r="R171" t="str">
        <f t="shared" si="4"/>
        <v>has made new highs</v>
      </c>
      <c r="S171" s="15">
        <f t="shared" si="5"/>
        <v>4.4677182919056726</v>
      </c>
    </row>
    <row r="172" spans="1:19" x14ac:dyDescent="0.35">
      <c r="A172" t="s">
        <v>446</v>
      </c>
      <c r="B172" t="s">
        <v>446</v>
      </c>
      <c r="C172" t="s">
        <v>447</v>
      </c>
      <c r="D172" t="s">
        <v>45</v>
      </c>
      <c r="G172" s="1">
        <v>44735</v>
      </c>
      <c r="H172" s="1">
        <v>44735</v>
      </c>
      <c r="I172" t="b">
        <v>0</v>
      </c>
      <c r="J172">
        <v>10.36</v>
      </c>
      <c r="K172" s="1">
        <v>46051</v>
      </c>
      <c r="L172">
        <v>1.37</v>
      </c>
      <c r="M172" s="1">
        <v>45008</v>
      </c>
      <c r="N172">
        <v>5.49</v>
      </c>
      <c r="O172" s="1">
        <v>46204</v>
      </c>
      <c r="P172">
        <v>1009</v>
      </c>
      <c r="Q172" t="s">
        <v>21</v>
      </c>
      <c r="R172" t="str">
        <f t="shared" si="4"/>
        <v>has made new highs</v>
      </c>
      <c r="S172" s="15">
        <f t="shared" si="5"/>
        <v>6.5620437956204363</v>
      </c>
    </row>
    <row r="173" spans="1:19" x14ac:dyDescent="0.35">
      <c r="A173" t="s">
        <v>448</v>
      </c>
      <c r="B173" t="s">
        <v>448</v>
      </c>
      <c r="C173" t="s">
        <v>449</v>
      </c>
      <c r="D173" t="s">
        <v>27</v>
      </c>
      <c r="E173">
        <v>7372</v>
      </c>
      <c r="F173" t="s">
        <v>20</v>
      </c>
      <c r="G173" s="1">
        <v>44174</v>
      </c>
      <c r="H173" s="1">
        <v>44379</v>
      </c>
      <c r="I173" t="b">
        <v>1</v>
      </c>
      <c r="J173">
        <v>64.5</v>
      </c>
      <c r="K173" s="1">
        <v>44379</v>
      </c>
      <c r="L173">
        <v>7.6749999999999998</v>
      </c>
      <c r="M173" s="1">
        <v>46111</v>
      </c>
      <c r="N173">
        <v>9.43</v>
      </c>
      <c r="O173" s="1">
        <v>46204</v>
      </c>
      <c r="P173">
        <v>1254</v>
      </c>
      <c r="Q173" t="s">
        <v>21</v>
      </c>
      <c r="R173" t="str">
        <f t="shared" si="4"/>
        <v>has not made new highs</v>
      </c>
      <c r="S173" s="15">
        <f t="shared" si="5"/>
        <v>7.4039087947882738</v>
      </c>
    </row>
    <row r="174" spans="1:19" x14ac:dyDescent="0.35">
      <c r="A174" t="s">
        <v>450</v>
      </c>
      <c r="B174" t="s">
        <v>450</v>
      </c>
      <c r="C174" t="s">
        <v>451</v>
      </c>
      <c r="D174" t="s">
        <v>68</v>
      </c>
      <c r="E174">
        <v>8090</v>
      </c>
      <c r="F174" t="s">
        <v>452</v>
      </c>
      <c r="G174" s="1">
        <v>44155</v>
      </c>
      <c r="H174" s="1">
        <v>44379</v>
      </c>
      <c r="I174" t="b">
        <v>1</v>
      </c>
      <c r="J174">
        <v>27.38</v>
      </c>
      <c r="K174" s="1">
        <v>44504</v>
      </c>
      <c r="L174">
        <v>5.78</v>
      </c>
      <c r="M174" s="1">
        <v>44874</v>
      </c>
      <c r="N174">
        <v>17.75</v>
      </c>
      <c r="O174" s="1">
        <v>46204</v>
      </c>
      <c r="P174">
        <v>1254</v>
      </c>
      <c r="Q174" t="s">
        <v>21</v>
      </c>
      <c r="R174" t="str">
        <f t="shared" si="4"/>
        <v>has not made new highs</v>
      </c>
      <c r="S174" s="15">
        <f t="shared" si="5"/>
        <v>3.7370242214532867</v>
      </c>
    </row>
    <row r="175" spans="1:19" x14ac:dyDescent="0.35">
      <c r="A175" t="s">
        <v>453</v>
      </c>
      <c r="B175" t="s">
        <v>453</v>
      </c>
      <c r="C175" t="s">
        <v>454</v>
      </c>
      <c r="D175" t="s">
        <v>27</v>
      </c>
      <c r="E175">
        <v>7372</v>
      </c>
      <c r="F175" t="s">
        <v>20</v>
      </c>
      <c r="G175" s="1">
        <v>44104</v>
      </c>
      <c r="H175" s="1">
        <v>44379</v>
      </c>
      <c r="I175" t="b">
        <v>1</v>
      </c>
      <c r="J175">
        <v>145.78989999999999</v>
      </c>
      <c r="K175" s="1">
        <v>44515</v>
      </c>
      <c r="L175">
        <v>5.38</v>
      </c>
      <c r="M175" s="1">
        <v>46125</v>
      </c>
      <c r="N175">
        <v>7.31</v>
      </c>
      <c r="O175" s="1">
        <v>46204</v>
      </c>
      <c r="P175">
        <v>1254</v>
      </c>
      <c r="Q175" t="s">
        <v>21</v>
      </c>
      <c r="R175" t="str">
        <f t="shared" si="4"/>
        <v>has not made new highs</v>
      </c>
      <c r="S175" s="15">
        <f t="shared" si="5"/>
        <v>26.09849442379182</v>
      </c>
    </row>
    <row r="176" spans="1:19" x14ac:dyDescent="0.35">
      <c r="A176" t="s">
        <v>455</v>
      </c>
      <c r="B176" t="s">
        <v>455</v>
      </c>
      <c r="C176" t="s">
        <v>456</v>
      </c>
      <c r="D176" t="s">
        <v>45</v>
      </c>
      <c r="E176">
        <v>7372</v>
      </c>
      <c r="F176" t="s">
        <v>20</v>
      </c>
      <c r="G176" s="1">
        <v>44026</v>
      </c>
      <c r="H176" s="1">
        <v>44379</v>
      </c>
      <c r="I176" t="b">
        <v>1</v>
      </c>
      <c r="J176">
        <v>79.429900000000004</v>
      </c>
      <c r="K176" s="1">
        <v>44456</v>
      </c>
      <c r="L176">
        <v>13.8</v>
      </c>
      <c r="M176" s="1">
        <v>46076</v>
      </c>
      <c r="N176">
        <v>17.149999999999999</v>
      </c>
      <c r="O176" s="1">
        <v>46204</v>
      </c>
      <c r="P176">
        <v>1254</v>
      </c>
      <c r="Q176" t="s">
        <v>21</v>
      </c>
      <c r="R176" t="str">
        <f t="shared" si="4"/>
        <v>has not made new highs</v>
      </c>
      <c r="S176" s="15">
        <f t="shared" si="5"/>
        <v>4.7557898550724635</v>
      </c>
    </row>
    <row r="177" spans="1:19" x14ac:dyDescent="0.35">
      <c r="A177" t="s">
        <v>457</v>
      </c>
      <c r="B177" t="s">
        <v>457</v>
      </c>
      <c r="C177" t="s">
        <v>458</v>
      </c>
      <c r="D177" t="s">
        <v>45</v>
      </c>
      <c r="E177">
        <v>6199</v>
      </c>
      <c r="F177" t="s">
        <v>46</v>
      </c>
      <c r="G177" s="1">
        <v>44567</v>
      </c>
      <c r="H177" s="1">
        <v>44567</v>
      </c>
      <c r="I177" t="b">
        <v>0</v>
      </c>
      <c r="J177">
        <v>491.06880000000001</v>
      </c>
      <c r="K177" s="1">
        <v>44594</v>
      </c>
      <c r="L177">
        <v>4.4668000000000001</v>
      </c>
      <c r="M177" s="1">
        <v>45056</v>
      </c>
      <c r="N177">
        <v>383.13</v>
      </c>
      <c r="O177" s="1">
        <v>46204</v>
      </c>
      <c r="P177">
        <v>1124</v>
      </c>
      <c r="Q177" t="s">
        <v>21</v>
      </c>
      <c r="R177" t="str">
        <f t="shared" si="4"/>
        <v>has not made new highs</v>
      </c>
      <c r="S177" s="15">
        <f t="shared" si="5"/>
        <v>108.93749440315214</v>
      </c>
    </row>
    <row r="178" spans="1:19" x14ac:dyDescent="0.35">
      <c r="A178" t="s">
        <v>459</v>
      </c>
      <c r="B178" t="s">
        <v>459</v>
      </c>
      <c r="C178" t="s">
        <v>460</v>
      </c>
      <c r="D178" t="s">
        <v>27</v>
      </c>
      <c r="E178">
        <v>7371</v>
      </c>
      <c r="F178" t="s">
        <v>193</v>
      </c>
      <c r="G178" s="1">
        <v>44622</v>
      </c>
      <c r="H178" s="1">
        <v>44622</v>
      </c>
      <c r="I178" t="b">
        <v>0</v>
      </c>
      <c r="J178">
        <v>58.150100000000002</v>
      </c>
      <c r="K178" s="1">
        <v>45944</v>
      </c>
      <c r="L178">
        <v>0.36009999999999998</v>
      </c>
      <c r="M178" s="1">
        <v>45050</v>
      </c>
      <c r="N178">
        <v>18.68</v>
      </c>
      <c r="O178" s="1">
        <v>46204</v>
      </c>
      <c r="P178">
        <v>1087</v>
      </c>
      <c r="Q178" t="s">
        <v>21</v>
      </c>
      <c r="R178" t="str">
        <f t="shared" si="4"/>
        <v>has made new highs</v>
      </c>
      <c r="S178" s="15">
        <f t="shared" si="5"/>
        <v>160.48319911135798</v>
      </c>
    </row>
    <row r="179" spans="1:19" x14ac:dyDescent="0.35">
      <c r="A179" t="s">
        <v>461</v>
      </c>
      <c r="B179" t="s">
        <v>461</v>
      </c>
      <c r="C179" t="s">
        <v>462</v>
      </c>
      <c r="D179" t="s">
        <v>68</v>
      </c>
      <c r="E179">
        <v>3841</v>
      </c>
      <c r="F179" t="s">
        <v>172</v>
      </c>
      <c r="G179" s="1">
        <v>44454</v>
      </c>
      <c r="H179" s="1">
        <v>44454</v>
      </c>
      <c r="I179" t="b">
        <v>0</v>
      </c>
      <c r="J179">
        <v>103.8099</v>
      </c>
      <c r="K179" s="1">
        <v>45607</v>
      </c>
      <c r="L179">
        <v>15.38</v>
      </c>
      <c r="M179" s="1">
        <v>44585</v>
      </c>
      <c r="N179">
        <v>23.47</v>
      </c>
      <c r="O179" s="1">
        <v>46204</v>
      </c>
      <c r="P179">
        <v>1203</v>
      </c>
      <c r="Q179" t="s">
        <v>21</v>
      </c>
      <c r="R179" t="str">
        <f t="shared" si="4"/>
        <v>has made new highs</v>
      </c>
      <c r="S179" s="15">
        <f t="shared" si="5"/>
        <v>5.7496684005201564</v>
      </c>
    </row>
    <row r="180" spans="1:19" x14ac:dyDescent="0.35">
      <c r="A180" t="s">
        <v>463</v>
      </c>
      <c r="B180" t="s">
        <v>463</v>
      </c>
      <c r="C180" t="s">
        <v>464</v>
      </c>
      <c r="D180" t="s">
        <v>84</v>
      </c>
      <c r="E180">
        <v>5940</v>
      </c>
      <c r="F180" t="s">
        <v>465</v>
      </c>
      <c r="G180" s="1">
        <v>44106</v>
      </c>
      <c r="H180" s="1">
        <v>44379</v>
      </c>
      <c r="I180" t="b">
        <v>1</v>
      </c>
      <c r="J180">
        <v>75.73</v>
      </c>
      <c r="K180" s="1">
        <v>45356</v>
      </c>
      <c r="L180">
        <v>25.1</v>
      </c>
      <c r="M180" s="1">
        <v>44706</v>
      </c>
      <c r="N180">
        <v>47.25</v>
      </c>
      <c r="O180" s="1">
        <v>46204</v>
      </c>
      <c r="P180">
        <v>1254</v>
      </c>
      <c r="Q180" t="s">
        <v>21</v>
      </c>
      <c r="R180" t="str">
        <f t="shared" si="4"/>
        <v>has made new highs</v>
      </c>
      <c r="S180" s="15">
        <f t="shared" si="5"/>
        <v>2.0171314741035857</v>
      </c>
    </row>
    <row r="181" spans="1:19" x14ac:dyDescent="0.35">
      <c r="A181" t="s">
        <v>466</v>
      </c>
      <c r="B181" t="s">
        <v>466</v>
      </c>
      <c r="C181" t="s">
        <v>467</v>
      </c>
      <c r="D181" t="s">
        <v>27</v>
      </c>
      <c r="E181">
        <v>3490</v>
      </c>
      <c r="F181" t="s">
        <v>468</v>
      </c>
      <c r="G181" s="1">
        <v>45014</v>
      </c>
      <c r="H181" s="1">
        <v>45020</v>
      </c>
      <c r="I181" t="b">
        <v>1</v>
      </c>
      <c r="J181">
        <v>69</v>
      </c>
      <c r="K181" s="1">
        <v>45939</v>
      </c>
      <c r="L181">
        <v>35.704999999999998</v>
      </c>
      <c r="M181" s="1">
        <v>46176</v>
      </c>
      <c r="N181">
        <v>51.96</v>
      </c>
      <c r="O181" s="1">
        <v>46204</v>
      </c>
      <c r="P181">
        <v>813</v>
      </c>
      <c r="Q181" t="s">
        <v>21</v>
      </c>
      <c r="R181" t="str">
        <f t="shared" si="4"/>
        <v>has not made new highs</v>
      </c>
      <c r="S181" s="15">
        <f t="shared" si="5"/>
        <v>0.93250245063716575</v>
      </c>
    </row>
    <row r="182" spans="1:19" x14ac:dyDescent="0.35">
      <c r="A182" t="s">
        <v>469</v>
      </c>
      <c r="B182" t="s">
        <v>469</v>
      </c>
      <c r="C182" t="s">
        <v>470</v>
      </c>
      <c r="D182" t="s">
        <v>45</v>
      </c>
      <c r="E182">
        <v>6798</v>
      </c>
      <c r="F182" t="s">
        <v>214</v>
      </c>
      <c r="G182" s="1">
        <v>44091</v>
      </c>
      <c r="H182" s="1">
        <v>44379</v>
      </c>
      <c r="I182" t="b">
        <v>1</v>
      </c>
      <c r="J182">
        <v>28</v>
      </c>
      <c r="K182" s="1">
        <v>44442</v>
      </c>
      <c r="L182">
        <v>13.68</v>
      </c>
      <c r="M182" s="1">
        <v>45226</v>
      </c>
      <c r="N182">
        <v>20.78</v>
      </c>
      <c r="O182" s="1">
        <v>46204</v>
      </c>
      <c r="P182">
        <v>1254</v>
      </c>
      <c r="Q182" t="s">
        <v>21</v>
      </c>
      <c r="R182" t="str">
        <f t="shared" si="4"/>
        <v>has not made new highs</v>
      </c>
      <c r="S182" s="15">
        <f t="shared" si="5"/>
        <v>1.0467836257309941</v>
      </c>
    </row>
    <row r="183" spans="1:19" x14ac:dyDescent="0.35">
      <c r="A183" t="s">
        <v>471</v>
      </c>
      <c r="B183" t="s">
        <v>471</v>
      </c>
      <c r="C183" t="s">
        <v>472</v>
      </c>
      <c r="D183" t="s">
        <v>37</v>
      </c>
      <c r="E183">
        <v>4700</v>
      </c>
      <c r="F183" t="s">
        <v>300</v>
      </c>
      <c r="G183" s="1">
        <v>44708</v>
      </c>
      <c r="H183" s="1">
        <v>44712</v>
      </c>
      <c r="I183" t="b">
        <v>1</v>
      </c>
      <c r="J183">
        <v>9.6</v>
      </c>
      <c r="K183" s="1">
        <v>45621</v>
      </c>
      <c r="L183">
        <v>4.26</v>
      </c>
      <c r="M183" s="1">
        <v>44882</v>
      </c>
      <c r="N183">
        <v>9.4</v>
      </c>
      <c r="O183" s="1">
        <v>46204</v>
      </c>
      <c r="P183">
        <v>1025</v>
      </c>
      <c r="Q183" t="s">
        <v>21</v>
      </c>
      <c r="R183" t="str">
        <f t="shared" si="4"/>
        <v>has made new highs</v>
      </c>
      <c r="S183" s="15">
        <f t="shared" si="5"/>
        <v>1.2535211267605635</v>
      </c>
    </row>
    <row r="184" spans="1:19" x14ac:dyDescent="0.35">
      <c r="A184" t="s">
        <v>473</v>
      </c>
      <c r="B184" t="s">
        <v>473</v>
      </c>
      <c r="C184" t="s">
        <v>474</v>
      </c>
      <c r="D184" t="s">
        <v>68</v>
      </c>
      <c r="E184">
        <v>2834</v>
      </c>
      <c r="F184" t="s">
        <v>157</v>
      </c>
      <c r="G184" s="1">
        <v>44657</v>
      </c>
      <c r="H184" s="1">
        <v>44657</v>
      </c>
      <c r="I184" t="b">
        <v>0</v>
      </c>
      <c r="J184">
        <v>64.98</v>
      </c>
      <c r="K184" s="1">
        <v>45334</v>
      </c>
      <c r="L184">
        <v>4.25</v>
      </c>
      <c r="M184" s="1">
        <v>44697</v>
      </c>
      <c r="N184">
        <v>19.13</v>
      </c>
      <c r="O184" s="1">
        <v>46204</v>
      </c>
      <c r="P184">
        <v>1061</v>
      </c>
      <c r="Q184" t="s">
        <v>21</v>
      </c>
      <c r="R184" t="str">
        <f t="shared" si="4"/>
        <v>has made new highs</v>
      </c>
      <c r="S184" s="15">
        <f t="shared" si="5"/>
        <v>14.289411764705884</v>
      </c>
    </row>
    <row r="185" spans="1:19" x14ac:dyDescent="0.35">
      <c r="A185" t="s">
        <v>475</v>
      </c>
      <c r="B185" t="s">
        <v>475</v>
      </c>
      <c r="C185" t="s">
        <v>476</v>
      </c>
      <c r="D185" t="s">
        <v>27</v>
      </c>
      <c r="E185">
        <v>7389</v>
      </c>
      <c r="F185" t="s">
        <v>38</v>
      </c>
      <c r="G185" s="1">
        <v>44383</v>
      </c>
      <c r="H185" s="1">
        <v>44383</v>
      </c>
      <c r="I185" t="b">
        <v>0</v>
      </c>
      <c r="J185">
        <v>266.8</v>
      </c>
      <c r="K185" s="1">
        <v>44449</v>
      </c>
      <c r="L185">
        <v>9.5760000000000005</v>
      </c>
      <c r="M185" s="1">
        <v>46121</v>
      </c>
      <c r="N185">
        <v>13.73</v>
      </c>
      <c r="O185" s="1">
        <v>46204</v>
      </c>
      <c r="P185">
        <v>1253</v>
      </c>
      <c r="Q185" t="s">
        <v>21</v>
      </c>
      <c r="R185" t="str">
        <f t="shared" si="4"/>
        <v>has not made new highs</v>
      </c>
      <c r="S185" s="15">
        <f t="shared" si="5"/>
        <v>26.861319966583121</v>
      </c>
    </row>
    <row r="186" spans="1:19" x14ac:dyDescent="0.35">
      <c r="A186" t="s">
        <v>477</v>
      </c>
      <c r="B186" t="s">
        <v>477</v>
      </c>
      <c r="C186" t="s">
        <v>478</v>
      </c>
      <c r="D186" t="s">
        <v>24</v>
      </c>
      <c r="E186">
        <v>4922</v>
      </c>
      <c r="F186" t="s">
        <v>196</v>
      </c>
      <c r="G186" s="1">
        <v>45106</v>
      </c>
      <c r="H186" s="1">
        <v>45106</v>
      </c>
      <c r="I186" t="b">
        <v>0</v>
      </c>
      <c r="J186">
        <v>77.680000000000007</v>
      </c>
      <c r="K186" s="1">
        <v>46162</v>
      </c>
      <c r="L186">
        <v>15.05</v>
      </c>
      <c r="M186" s="1">
        <v>45112</v>
      </c>
      <c r="N186">
        <v>72.400000000000006</v>
      </c>
      <c r="O186" s="1">
        <v>46204</v>
      </c>
      <c r="P186">
        <v>754</v>
      </c>
      <c r="Q186" t="s">
        <v>21</v>
      </c>
      <c r="R186" t="str">
        <f t="shared" si="4"/>
        <v>has made new highs</v>
      </c>
      <c r="S186" s="15">
        <f t="shared" si="5"/>
        <v>4.1614617940199343</v>
      </c>
    </row>
    <row r="187" spans="1:19" x14ac:dyDescent="0.35">
      <c r="A187" t="s">
        <v>479</v>
      </c>
      <c r="B187" t="s">
        <v>479</v>
      </c>
      <c r="C187" t="s">
        <v>480</v>
      </c>
      <c r="D187" t="s">
        <v>27</v>
      </c>
      <c r="E187">
        <v>7370</v>
      </c>
      <c r="F187" t="s">
        <v>34</v>
      </c>
      <c r="G187" s="1">
        <v>44013</v>
      </c>
      <c r="H187" s="1">
        <v>46177</v>
      </c>
      <c r="I187" t="b">
        <v>1</v>
      </c>
      <c r="J187">
        <v>46.88</v>
      </c>
      <c r="K187" s="1">
        <v>46204</v>
      </c>
      <c r="L187">
        <v>41.05</v>
      </c>
      <c r="M187" s="1">
        <v>46196</v>
      </c>
      <c r="N187">
        <v>45.94</v>
      </c>
      <c r="O187" s="1">
        <v>46204</v>
      </c>
      <c r="P187">
        <v>19</v>
      </c>
      <c r="Q187" t="s">
        <v>21</v>
      </c>
      <c r="R187" t="str">
        <f t="shared" si="4"/>
        <v>has made new highs</v>
      </c>
      <c r="S187" s="15">
        <f t="shared" si="5"/>
        <v>0.14202192448233875</v>
      </c>
    </row>
    <row r="188" spans="1:19" x14ac:dyDescent="0.35">
      <c r="A188" t="s">
        <v>481</v>
      </c>
      <c r="B188" t="s">
        <v>481</v>
      </c>
      <c r="C188" t="s">
        <v>482</v>
      </c>
      <c r="D188" t="s">
        <v>45</v>
      </c>
      <c r="E188">
        <v>7372</v>
      </c>
      <c r="F188" t="s">
        <v>20</v>
      </c>
      <c r="G188" s="1">
        <v>44300</v>
      </c>
      <c r="H188" s="1">
        <v>44379</v>
      </c>
      <c r="I188" t="b">
        <v>1</v>
      </c>
      <c r="J188">
        <v>42.29</v>
      </c>
      <c r="K188" s="1">
        <v>45621</v>
      </c>
      <c r="L188">
        <v>9.23</v>
      </c>
      <c r="M188" s="1">
        <v>44691</v>
      </c>
      <c r="N188">
        <v>18.72</v>
      </c>
      <c r="O188" s="1">
        <v>46204</v>
      </c>
      <c r="P188">
        <v>1254</v>
      </c>
      <c r="Q188" t="s">
        <v>21</v>
      </c>
      <c r="R188" t="str">
        <f t="shared" si="4"/>
        <v>has made new highs</v>
      </c>
      <c r="S188" s="15">
        <f t="shared" si="5"/>
        <v>3.5817984832069341</v>
      </c>
    </row>
    <row r="189" spans="1:19" x14ac:dyDescent="0.35">
      <c r="A189" t="s">
        <v>483</v>
      </c>
      <c r="B189" t="s">
        <v>483</v>
      </c>
      <c r="C189" t="s">
        <v>484</v>
      </c>
      <c r="D189" t="s">
        <v>24</v>
      </c>
      <c r="E189">
        <v>1381</v>
      </c>
      <c r="F189" t="s">
        <v>380</v>
      </c>
      <c r="G189" s="1">
        <v>44319</v>
      </c>
      <c r="H189" s="1">
        <v>44379</v>
      </c>
      <c r="I189" t="b">
        <v>1</v>
      </c>
      <c r="J189">
        <v>114.12</v>
      </c>
      <c r="K189" s="1">
        <v>46160</v>
      </c>
      <c r="L189">
        <v>23.02</v>
      </c>
      <c r="M189" s="1">
        <v>44427</v>
      </c>
      <c r="N189">
        <v>72.459999999999994</v>
      </c>
      <c r="O189" s="1">
        <v>46204</v>
      </c>
      <c r="P189">
        <v>1254</v>
      </c>
      <c r="Q189" t="s">
        <v>21</v>
      </c>
      <c r="R189" t="str">
        <f t="shared" si="4"/>
        <v>has made new highs</v>
      </c>
      <c r="S189" s="15">
        <f t="shared" si="5"/>
        <v>3.9574283231972203</v>
      </c>
    </row>
    <row r="190" spans="1:19" x14ac:dyDescent="0.35">
      <c r="A190" t="s">
        <v>485</v>
      </c>
      <c r="B190" t="s">
        <v>485</v>
      </c>
      <c r="C190" t="s">
        <v>486</v>
      </c>
      <c r="D190" t="s">
        <v>84</v>
      </c>
      <c r="E190">
        <v>3580</v>
      </c>
      <c r="F190" t="s">
        <v>487</v>
      </c>
      <c r="G190" s="1">
        <v>44267</v>
      </c>
      <c r="H190" s="1">
        <v>44379</v>
      </c>
      <c r="I190" t="b">
        <v>1</v>
      </c>
      <c r="J190">
        <v>28.65</v>
      </c>
      <c r="K190" s="1">
        <v>44518</v>
      </c>
      <c r="L190">
        <v>7.97</v>
      </c>
      <c r="M190" s="1">
        <v>44855</v>
      </c>
      <c r="N190">
        <v>16.97</v>
      </c>
      <c r="O190" s="1">
        <v>46204</v>
      </c>
      <c r="P190">
        <v>1254</v>
      </c>
      <c r="Q190" t="s">
        <v>21</v>
      </c>
      <c r="R190" t="str">
        <f t="shared" si="4"/>
        <v>has not made new highs</v>
      </c>
      <c r="S190" s="15">
        <f t="shared" si="5"/>
        <v>2.5947302383939777</v>
      </c>
    </row>
    <row r="191" spans="1:19" x14ac:dyDescent="0.35">
      <c r="A191" t="s">
        <v>488</v>
      </c>
      <c r="B191" t="s">
        <v>488</v>
      </c>
      <c r="C191" t="s">
        <v>489</v>
      </c>
      <c r="D191" t="s">
        <v>45</v>
      </c>
      <c r="E191">
        <v>6331</v>
      </c>
      <c r="F191" t="s">
        <v>490</v>
      </c>
      <c r="G191" s="1">
        <v>44014</v>
      </c>
      <c r="H191" s="1">
        <v>44379</v>
      </c>
      <c r="I191" t="b">
        <v>1</v>
      </c>
      <c r="J191">
        <v>114.8</v>
      </c>
      <c r="K191" s="1">
        <v>44379</v>
      </c>
      <c r="L191">
        <v>10.265000000000001</v>
      </c>
      <c r="M191" s="1">
        <v>45229</v>
      </c>
      <c r="N191">
        <v>69.33</v>
      </c>
      <c r="O191" s="1">
        <v>46204</v>
      </c>
      <c r="P191">
        <v>1254</v>
      </c>
      <c r="Q191" t="s">
        <v>21</v>
      </c>
      <c r="R191" t="str">
        <f t="shared" si="4"/>
        <v>has not made new highs</v>
      </c>
      <c r="S191" s="15">
        <f t="shared" si="5"/>
        <v>10.183633706770578</v>
      </c>
    </row>
    <row r="192" spans="1:19" x14ac:dyDescent="0.35">
      <c r="A192" t="s">
        <v>491</v>
      </c>
      <c r="B192" t="s">
        <v>491</v>
      </c>
      <c r="C192" t="s">
        <v>492</v>
      </c>
      <c r="D192" t="s">
        <v>30</v>
      </c>
      <c r="E192">
        <v>3714</v>
      </c>
      <c r="F192" t="s">
        <v>493</v>
      </c>
      <c r="G192" s="1">
        <v>45072</v>
      </c>
      <c r="H192" s="1">
        <v>45072</v>
      </c>
      <c r="I192" t="b">
        <v>0</v>
      </c>
      <c r="J192">
        <v>66.5</v>
      </c>
      <c r="K192" s="1">
        <v>46078</v>
      </c>
      <c r="L192">
        <v>18.21</v>
      </c>
      <c r="M192" s="1">
        <v>45231</v>
      </c>
      <c r="N192">
        <v>49.64</v>
      </c>
      <c r="O192" s="1">
        <v>46204</v>
      </c>
      <c r="P192">
        <v>776</v>
      </c>
      <c r="Q192" t="s">
        <v>21</v>
      </c>
      <c r="R192" t="str">
        <f t="shared" si="4"/>
        <v>has made new highs</v>
      </c>
      <c r="S192" s="15">
        <f t="shared" si="5"/>
        <v>2.6518396485447555</v>
      </c>
    </row>
    <row r="193" spans="1:19" x14ac:dyDescent="0.35">
      <c r="A193" t="s">
        <v>494</v>
      </c>
      <c r="B193" t="s">
        <v>494</v>
      </c>
      <c r="C193" t="s">
        <v>495</v>
      </c>
      <c r="D193" t="s">
        <v>45</v>
      </c>
      <c r="G193" s="1">
        <v>45407</v>
      </c>
      <c r="H193" s="1">
        <v>45407</v>
      </c>
      <c r="I193" t="b">
        <v>0</v>
      </c>
      <c r="J193">
        <v>67.349999999999994</v>
      </c>
      <c r="K193" s="1">
        <v>46197</v>
      </c>
      <c r="L193">
        <v>18.13</v>
      </c>
      <c r="M193" s="1">
        <v>45448</v>
      </c>
      <c r="N193">
        <v>65.22</v>
      </c>
      <c r="O193" s="1">
        <v>46204</v>
      </c>
      <c r="P193">
        <v>547</v>
      </c>
      <c r="Q193" t="s">
        <v>21</v>
      </c>
      <c r="R193" t="str">
        <f t="shared" si="4"/>
        <v>has made new highs</v>
      </c>
      <c r="S193" s="15">
        <f t="shared" si="5"/>
        <v>2.7148372862658579</v>
      </c>
    </row>
    <row r="194" spans="1:19" x14ac:dyDescent="0.35">
      <c r="A194" t="s">
        <v>496</v>
      </c>
      <c r="B194" t="s">
        <v>496</v>
      </c>
      <c r="C194" t="s">
        <v>497</v>
      </c>
      <c r="D194" t="s">
        <v>27</v>
      </c>
      <c r="G194" s="1">
        <v>44966</v>
      </c>
      <c r="H194" s="1">
        <v>44966</v>
      </c>
      <c r="I194" t="b">
        <v>0</v>
      </c>
      <c r="J194">
        <v>30.85</v>
      </c>
      <c r="K194" s="1">
        <v>45922</v>
      </c>
      <c r="L194">
        <v>3.28</v>
      </c>
      <c r="M194" s="1">
        <v>45324</v>
      </c>
      <c r="N194">
        <v>18.23</v>
      </c>
      <c r="O194" s="1">
        <v>46204</v>
      </c>
      <c r="P194">
        <v>850</v>
      </c>
      <c r="Q194" t="s">
        <v>21</v>
      </c>
      <c r="R194" t="str">
        <f t="shared" ref="R194:R257" si="6">IF(K194&gt;M194,"has made new highs","has not made new highs")</f>
        <v>has made new highs</v>
      </c>
      <c r="S194" s="15">
        <f t="shared" ref="S194:S257" si="7">(J194-L194)/L194</f>
        <v>8.4054878048780495</v>
      </c>
    </row>
    <row r="195" spans="1:19" x14ac:dyDescent="0.35">
      <c r="A195" t="s">
        <v>498</v>
      </c>
      <c r="B195" t="s">
        <v>498</v>
      </c>
      <c r="C195" t="s">
        <v>499</v>
      </c>
      <c r="D195" t="s">
        <v>27</v>
      </c>
      <c r="E195">
        <v>7372</v>
      </c>
      <c r="F195" t="s">
        <v>20</v>
      </c>
      <c r="G195" s="1">
        <v>44517</v>
      </c>
      <c r="H195" s="1">
        <v>44517</v>
      </c>
      <c r="I195" t="b">
        <v>0</v>
      </c>
      <c r="J195">
        <v>98.779899999999998</v>
      </c>
      <c r="K195" s="1">
        <v>44522</v>
      </c>
      <c r="L195">
        <v>15.26</v>
      </c>
      <c r="M195" s="1">
        <v>46076</v>
      </c>
      <c r="N195">
        <v>22.93</v>
      </c>
      <c r="O195" s="1">
        <v>46204</v>
      </c>
      <c r="P195">
        <v>1158</v>
      </c>
      <c r="Q195" t="s">
        <v>21</v>
      </c>
      <c r="R195" t="str">
        <f t="shared" si="6"/>
        <v>has not made new highs</v>
      </c>
      <c r="S195" s="15">
        <f t="shared" si="7"/>
        <v>5.4731258191349932</v>
      </c>
    </row>
    <row r="196" spans="1:19" x14ac:dyDescent="0.35">
      <c r="A196" t="s">
        <v>500</v>
      </c>
      <c r="B196" t="s">
        <v>500</v>
      </c>
      <c r="C196" t="s">
        <v>501</v>
      </c>
      <c r="D196" t="s">
        <v>84</v>
      </c>
      <c r="E196">
        <v>7500</v>
      </c>
      <c r="F196" t="s">
        <v>502</v>
      </c>
      <c r="G196" s="1">
        <v>44211</v>
      </c>
      <c r="H196" s="1">
        <v>44379</v>
      </c>
      <c r="I196" t="b">
        <v>1</v>
      </c>
      <c r="J196">
        <v>35.450000000000003</v>
      </c>
      <c r="K196" s="1">
        <v>44816</v>
      </c>
      <c r="L196">
        <v>9.8000000000000007</v>
      </c>
      <c r="M196" s="1">
        <v>46078</v>
      </c>
      <c r="N196">
        <v>14.11</v>
      </c>
      <c r="O196" s="1">
        <v>46204</v>
      </c>
      <c r="P196">
        <v>1254</v>
      </c>
      <c r="Q196" t="s">
        <v>21</v>
      </c>
      <c r="R196" t="str">
        <f t="shared" si="6"/>
        <v>has not made new highs</v>
      </c>
      <c r="S196" s="15">
        <f t="shared" si="7"/>
        <v>2.6173469387755102</v>
      </c>
    </row>
    <row r="197" spans="1:19" x14ac:dyDescent="0.35">
      <c r="A197" t="s">
        <v>503</v>
      </c>
      <c r="B197" t="s">
        <v>503</v>
      </c>
      <c r="C197" t="s">
        <v>504</v>
      </c>
      <c r="D197" t="s">
        <v>24</v>
      </c>
      <c r="E197">
        <v>1311</v>
      </c>
      <c r="F197" t="s">
        <v>87</v>
      </c>
      <c r="G197" s="1">
        <v>44538</v>
      </c>
      <c r="H197" s="1">
        <v>44538</v>
      </c>
      <c r="I197" t="b">
        <v>0</v>
      </c>
      <c r="J197">
        <v>19.649999999999999</v>
      </c>
      <c r="K197" s="1">
        <v>44669</v>
      </c>
      <c r="L197">
        <v>6.83</v>
      </c>
      <c r="M197" s="1">
        <v>45756</v>
      </c>
      <c r="N197">
        <v>9.4700000000000006</v>
      </c>
      <c r="O197" s="1">
        <v>46204</v>
      </c>
      <c r="P197">
        <v>1144</v>
      </c>
      <c r="Q197" t="s">
        <v>21</v>
      </c>
      <c r="R197" t="str">
        <f t="shared" si="6"/>
        <v>has not made new highs</v>
      </c>
      <c r="S197" s="15">
        <f t="shared" si="7"/>
        <v>1.8770131771595897</v>
      </c>
    </row>
    <row r="198" spans="1:19" x14ac:dyDescent="0.35">
      <c r="A198" t="s">
        <v>505</v>
      </c>
      <c r="B198" t="s">
        <v>505</v>
      </c>
      <c r="C198" t="s">
        <v>506</v>
      </c>
      <c r="D198" t="s">
        <v>68</v>
      </c>
      <c r="E198">
        <v>2836</v>
      </c>
      <c r="F198" t="s">
        <v>418</v>
      </c>
      <c r="G198" s="1">
        <v>44064</v>
      </c>
      <c r="H198" s="1">
        <v>44379</v>
      </c>
      <c r="I198" t="b">
        <v>1</v>
      </c>
      <c r="J198">
        <v>130.05000000000001</v>
      </c>
      <c r="K198" s="1">
        <v>46198</v>
      </c>
      <c r="L198">
        <v>9.6</v>
      </c>
      <c r="M198" s="1">
        <v>45232</v>
      </c>
      <c r="N198">
        <v>114.2</v>
      </c>
      <c r="O198" s="1">
        <v>46204</v>
      </c>
      <c r="P198">
        <v>1254</v>
      </c>
      <c r="Q198" t="s">
        <v>21</v>
      </c>
      <c r="R198" t="str">
        <f t="shared" si="6"/>
        <v>has made new highs</v>
      </c>
      <c r="S198" s="15">
        <f t="shared" si="7"/>
        <v>12.546875000000002</v>
      </c>
    </row>
    <row r="199" spans="1:19" x14ac:dyDescent="0.35">
      <c r="A199" t="s">
        <v>507</v>
      </c>
      <c r="B199" t="s">
        <v>508</v>
      </c>
      <c r="C199" t="s">
        <v>509</v>
      </c>
      <c r="D199" t="s">
        <v>19</v>
      </c>
      <c r="E199">
        <v>7389</v>
      </c>
      <c r="F199" t="s">
        <v>38</v>
      </c>
      <c r="G199" s="1">
        <v>45379</v>
      </c>
      <c r="H199" s="1">
        <v>45379</v>
      </c>
      <c r="I199" t="b">
        <v>0</v>
      </c>
      <c r="J199">
        <v>76.48</v>
      </c>
      <c r="K199" s="1">
        <v>45946</v>
      </c>
      <c r="L199">
        <v>39.844999999999999</v>
      </c>
      <c r="M199" s="1">
        <v>45408</v>
      </c>
      <c r="N199">
        <v>76.48</v>
      </c>
      <c r="O199" s="1">
        <v>45946</v>
      </c>
      <c r="P199">
        <v>390</v>
      </c>
      <c r="Q199" t="s">
        <v>21</v>
      </c>
      <c r="R199" t="str">
        <f t="shared" si="6"/>
        <v>has made new highs</v>
      </c>
      <c r="S199" s="15">
        <f t="shared" si="7"/>
        <v>0.91943782155853948</v>
      </c>
    </row>
    <row r="200" spans="1:19" x14ac:dyDescent="0.35">
      <c r="A200" t="s">
        <v>510</v>
      </c>
      <c r="B200" t="s">
        <v>510</v>
      </c>
      <c r="C200" t="s">
        <v>511</v>
      </c>
      <c r="D200" t="s">
        <v>45</v>
      </c>
      <c r="E200">
        <v>7372</v>
      </c>
      <c r="F200" t="s">
        <v>20</v>
      </c>
      <c r="G200" s="1">
        <v>44356</v>
      </c>
      <c r="H200" s="1">
        <v>44379</v>
      </c>
      <c r="I200" t="b">
        <v>1</v>
      </c>
      <c r="J200">
        <v>151.6</v>
      </c>
      <c r="K200" s="1">
        <v>44496</v>
      </c>
      <c r="L200">
        <v>13.48</v>
      </c>
      <c r="M200" s="1">
        <v>45601</v>
      </c>
      <c r="N200">
        <v>16.62</v>
      </c>
      <c r="O200" s="1">
        <v>46204</v>
      </c>
      <c r="P200">
        <v>1254</v>
      </c>
      <c r="Q200" t="s">
        <v>21</v>
      </c>
      <c r="R200" t="str">
        <f t="shared" si="6"/>
        <v>has not made new highs</v>
      </c>
      <c r="S200" s="15">
        <f t="shared" si="7"/>
        <v>10.246290801186944</v>
      </c>
    </row>
    <row r="201" spans="1:19" x14ac:dyDescent="0.35">
      <c r="A201" t="s">
        <v>512</v>
      </c>
      <c r="B201" t="s">
        <v>512</v>
      </c>
      <c r="C201" t="s">
        <v>513</v>
      </c>
      <c r="D201" t="s">
        <v>19</v>
      </c>
      <c r="E201">
        <v>7374</v>
      </c>
      <c r="F201" t="s">
        <v>90</v>
      </c>
      <c r="G201" s="1">
        <v>44370</v>
      </c>
      <c r="H201" s="1">
        <v>44379</v>
      </c>
      <c r="I201" t="b">
        <v>1</v>
      </c>
      <c r="J201">
        <v>24.73</v>
      </c>
      <c r="K201" s="1">
        <v>44452</v>
      </c>
      <c r="L201">
        <v>8.82</v>
      </c>
      <c r="M201" s="1">
        <v>46077</v>
      </c>
      <c r="N201">
        <v>18.895</v>
      </c>
      <c r="O201" s="1">
        <v>46204</v>
      </c>
      <c r="P201">
        <v>1254</v>
      </c>
      <c r="Q201" t="s">
        <v>21</v>
      </c>
      <c r="R201" t="str">
        <f t="shared" si="6"/>
        <v>has not made new highs</v>
      </c>
      <c r="S201" s="15">
        <f t="shared" si="7"/>
        <v>1.8038548752834467</v>
      </c>
    </row>
    <row r="202" spans="1:19" x14ac:dyDescent="0.35">
      <c r="A202" t="s">
        <v>514</v>
      </c>
      <c r="B202" t="s">
        <v>514</v>
      </c>
      <c r="C202" t="s">
        <v>515</v>
      </c>
      <c r="D202" t="s">
        <v>27</v>
      </c>
      <c r="E202">
        <v>7389</v>
      </c>
      <c r="F202" t="s">
        <v>38</v>
      </c>
      <c r="G202" s="1">
        <v>44279</v>
      </c>
      <c r="H202" s="1">
        <v>44379</v>
      </c>
      <c r="I202" t="b">
        <v>1</v>
      </c>
      <c r="J202">
        <v>25.28</v>
      </c>
      <c r="K202" s="1">
        <v>44379</v>
      </c>
      <c r="L202">
        <v>4.0650000000000004</v>
      </c>
      <c r="M202" s="1">
        <v>46108</v>
      </c>
      <c r="N202">
        <v>7.29</v>
      </c>
      <c r="O202" s="1">
        <v>46204</v>
      </c>
      <c r="P202">
        <v>1254</v>
      </c>
      <c r="Q202" t="s">
        <v>21</v>
      </c>
      <c r="R202" t="str">
        <f t="shared" si="6"/>
        <v>has not made new highs</v>
      </c>
      <c r="S202" s="15">
        <f t="shared" si="7"/>
        <v>5.2189421894218935</v>
      </c>
    </row>
    <row r="203" spans="1:19" x14ac:dyDescent="0.35">
      <c r="A203" t="s">
        <v>516</v>
      </c>
      <c r="B203" t="s">
        <v>516</v>
      </c>
      <c r="C203" t="s">
        <v>517</v>
      </c>
      <c r="D203" t="s">
        <v>68</v>
      </c>
      <c r="E203">
        <v>8093</v>
      </c>
      <c r="F203" t="s">
        <v>518</v>
      </c>
      <c r="G203" s="1">
        <v>45498</v>
      </c>
      <c r="H203" s="1">
        <v>45498</v>
      </c>
      <c r="I203" t="b">
        <v>0</v>
      </c>
      <c r="J203">
        <v>30.9</v>
      </c>
      <c r="K203" s="1">
        <v>46204</v>
      </c>
      <c r="L203">
        <v>18.545000000000002</v>
      </c>
      <c r="M203" s="1">
        <v>45967</v>
      </c>
      <c r="N203">
        <v>30.77</v>
      </c>
      <c r="O203" s="1">
        <v>46204</v>
      </c>
      <c r="P203">
        <v>485</v>
      </c>
      <c r="Q203" t="s">
        <v>21</v>
      </c>
      <c r="R203" t="str">
        <f t="shared" si="6"/>
        <v>has made new highs</v>
      </c>
      <c r="S203" s="15">
        <f t="shared" si="7"/>
        <v>0.66621730924777545</v>
      </c>
    </row>
    <row r="204" spans="1:19" x14ac:dyDescent="0.35">
      <c r="A204" t="s">
        <v>519</v>
      </c>
      <c r="B204" t="s">
        <v>519</v>
      </c>
      <c r="C204" t="s">
        <v>520</v>
      </c>
      <c r="D204" t="s">
        <v>68</v>
      </c>
      <c r="E204">
        <v>6324</v>
      </c>
      <c r="F204" t="s">
        <v>337</v>
      </c>
      <c r="G204" s="1">
        <v>44281</v>
      </c>
      <c r="H204" s="1">
        <v>44379</v>
      </c>
      <c r="I204" t="b">
        <v>1</v>
      </c>
      <c r="J204">
        <v>24.114999999999998</v>
      </c>
      <c r="K204" s="1">
        <v>46204</v>
      </c>
      <c r="L204">
        <v>4.46</v>
      </c>
      <c r="M204" s="1">
        <v>45385</v>
      </c>
      <c r="N204">
        <v>24.01</v>
      </c>
      <c r="O204" s="1">
        <v>46204</v>
      </c>
      <c r="P204">
        <v>1254</v>
      </c>
      <c r="Q204" t="s">
        <v>21</v>
      </c>
      <c r="R204" t="str">
        <f t="shared" si="6"/>
        <v>has made new highs</v>
      </c>
      <c r="S204" s="15">
        <f t="shared" si="7"/>
        <v>4.4069506726457393</v>
      </c>
    </row>
    <row r="205" spans="1:19" x14ac:dyDescent="0.35">
      <c r="A205" t="s">
        <v>521</v>
      </c>
      <c r="B205" t="s">
        <v>521</v>
      </c>
      <c r="C205" t="s">
        <v>522</v>
      </c>
      <c r="D205" t="s">
        <v>68</v>
      </c>
      <c r="E205">
        <v>8000</v>
      </c>
      <c r="F205" t="s">
        <v>523</v>
      </c>
      <c r="G205" s="1">
        <v>44315</v>
      </c>
      <c r="H205" s="1">
        <v>44379</v>
      </c>
      <c r="I205" t="b">
        <v>1</v>
      </c>
      <c r="J205">
        <v>47.77</v>
      </c>
      <c r="K205" s="1">
        <v>44400</v>
      </c>
      <c r="L205">
        <v>15.92</v>
      </c>
      <c r="M205" s="1">
        <v>45433</v>
      </c>
      <c r="N205">
        <v>26.88</v>
      </c>
      <c r="O205" s="1">
        <v>46204</v>
      </c>
      <c r="P205">
        <v>1254</v>
      </c>
      <c r="Q205" t="s">
        <v>21</v>
      </c>
      <c r="R205" t="str">
        <f t="shared" si="6"/>
        <v>has not made new highs</v>
      </c>
      <c r="S205" s="15">
        <f t="shared" si="7"/>
        <v>2.0006281407035176</v>
      </c>
    </row>
    <row r="206" spans="1:19" x14ac:dyDescent="0.35">
      <c r="A206" t="s">
        <v>524</v>
      </c>
      <c r="B206" t="s">
        <v>524</v>
      </c>
      <c r="C206" t="s">
        <v>525</v>
      </c>
      <c r="D206" t="s">
        <v>84</v>
      </c>
      <c r="E206">
        <v>3851</v>
      </c>
      <c r="F206" t="s">
        <v>367</v>
      </c>
      <c r="G206" s="1">
        <v>44468</v>
      </c>
      <c r="H206" s="1">
        <v>44468</v>
      </c>
      <c r="I206" t="b">
        <v>0</v>
      </c>
      <c r="J206">
        <v>60.3</v>
      </c>
      <c r="K206" s="1">
        <v>44512</v>
      </c>
      <c r="L206">
        <v>9.5</v>
      </c>
      <c r="M206" s="1">
        <v>45005</v>
      </c>
      <c r="N206">
        <v>29.37</v>
      </c>
      <c r="O206" s="1">
        <v>46204</v>
      </c>
      <c r="P206">
        <v>1193</v>
      </c>
      <c r="Q206" t="s">
        <v>21</v>
      </c>
      <c r="R206" t="str">
        <f t="shared" si="6"/>
        <v>has not made new highs</v>
      </c>
      <c r="S206" s="15">
        <f t="shared" si="7"/>
        <v>5.3473684210526313</v>
      </c>
    </row>
    <row r="207" spans="1:19" x14ac:dyDescent="0.35">
      <c r="A207" t="s">
        <v>526</v>
      </c>
      <c r="B207" t="s">
        <v>526</v>
      </c>
      <c r="C207" t="s">
        <v>527</v>
      </c>
      <c r="D207" t="s">
        <v>27</v>
      </c>
      <c r="E207">
        <v>7370</v>
      </c>
      <c r="F207" t="s">
        <v>34</v>
      </c>
      <c r="G207" s="1">
        <v>44279</v>
      </c>
      <c r="H207" s="1">
        <v>44379</v>
      </c>
      <c r="I207" t="b">
        <v>1</v>
      </c>
      <c r="J207">
        <v>187.5</v>
      </c>
      <c r="K207" s="1">
        <v>46190</v>
      </c>
      <c r="L207">
        <v>19.39</v>
      </c>
      <c r="M207" s="1">
        <v>45231</v>
      </c>
      <c r="N207">
        <v>144.58000000000001</v>
      </c>
      <c r="O207" s="1">
        <v>46204</v>
      </c>
      <c r="P207">
        <v>1254</v>
      </c>
      <c r="Q207" t="s">
        <v>21</v>
      </c>
      <c r="R207" t="str">
        <f t="shared" si="6"/>
        <v>has made new highs</v>
      </c>
      <c r="S207" s="15">
        <f t="shared" si="7"/>
        <v>8.669932955131511</v>
      </c>
    </row>
    <row r="208" spans="1:19" x14ac:dyDescent="0.35">
      <c r="A208" t="s">
        <v>528</v>
      </c>
      <c r="B208" t="s">
        <v>528</v>
      </c>
      <c r="C208" t="s">
        <v>529</v>
      </c>
      <c r="D208" t="s">
        <v>68</v>
      </c>
      <c r="E208">
        <v>2836</v>
      </c>
      <c r="F208" t="s">
        <v>418</v>
      </c>
      <c r="G208" s="1">
        <v>45121</v>
      </c>
      <c r="H208" s="1">
        <v>45121</v>
      </c>
      <c r="I208" t="b">
        <v>0</v>
      </c>
      <c r="J208">
        <v>133.16</v>
      </c>
      <c r="K208" s="1">
        <v>46196</v>
      </c>
      <c r="L208">
        <v>14.19</v>
      </c>
      <c r="M208" s="1">
        <v>45240</v>
      </c>
      <c r="N208">
        <v>132.77000000000001</v>
      </c>
      <c r="O208" s="1">
        <v>46204</v>
      </c>
      <c r="P208">
        <v>744</v>
      </c>
      <c r="Q208" t="s">
        <v>21</v>
      </c>
      <c r="R208" t="str">
        <f t="shared" si="6"/>
        <v>has made new highs</v>
      </c>
      <c r="S208" s="15">
        <f t="shared" si="7"/>
        <v>8.3840732910500346</v>
      </c>
    </row>
    <row r="209" spans="1:19" x14ac:dyDescent="0.35">
      <c r="A209" t="s">
        <v>530</v>
      </c>
      <c r="B209" t="s">
        <v>530</v>
      </c>
      <c r="C209" t="s">
        <v>531</v>
      </c>
      <c r="D209" t="s">
        <v>27</v>
      </c>
      <c r="G209" s="1">
        <v>44307</v>
      </c>
      <c r="H209" s="1">
        <v>44379</v>
      </c>
      <c r="I209" t="b">
        <v>1</v>
      </c>
      <c r="J209">
        <v>24.14</v>
      </c>
      <c r="K209" s="1">
        <v>44448</v>
      </c>
      <c r="L209">
        <v>2.2000000000000002</v>
      </c>
      <c r="M209" s="1">
        <v>44742</v>
      </c>
      <c r="N209">
        <v>6.36</v>
      </c>
      <c r="O209" s="1">
        <v>46204</v>
      </c>
      <c r="P209">
        <v>1254</v>
      </c>
      <c r="Q209" t="s">
        <v>21</v>
      </c>
      <c r="R209" t="str">
        <f t="shared" si="6"/>
        <v>has not made new highs</v>
      </c>
      <c r="S209" s="15">
        <f t="shared" si="7"/>
        <v>9.9727272727272727</v>
      </c>
    </row>
    <row r="210" spans="1:19" x14ac:dyDescent="0.35">
      <c r="A210" t="s">
        <v>532</v>
      </c>
      <c r="B210" t="s">
        <v>532</v>
      </c>
      <c r="C210" t="s">
        <v>533</v>
      </c>
      <c r="D210" t="s">
        <v>68</v>
      </c>
      <c r="E210">
        <v>2834</v>
      </c>
      <c r="F210" t="s">
        <v>157</v>
      </c>
      <c r="G210" s="1">
        <v>44330</v>
      </c>
      <c r="H210" s="1">
        <v>44379</v>
      </c>
      <c r="I210" t="b">
        <v>1</v>
      </c>
      <c r="J210">
        <v>39.475000000000001</v>
      </c>
      <c r="K210" s="1">
        <v>44622</v>
      </c>
      <c r="L210">
        <v>5.69</v>
      </c>
      <c r="M210" s="1">
        <v>46111</v>
      </c>
      <c r="N210">
        <v>13.53</v>
      </c>
      <c r="O210" s="1">
        <v>46204</v>
      </c>
      <c r="P210">
        <v>1254</v>
      </c>
      <c r="Q210" t="s">
        <v>21</v>
      </c>
      <c r="R210" t="str">
        <f t="shared" si="6"/>
        <v>has not made new highs</v>
      </c>
      <c r="S210" s="15">
        <f t="shared" si="7"/>
        <v>5.9376098418277685</v>
      </c>
    </row>
    <row r="211" spans="1:19" x14ac:dyDescent="0.35">
      <c r="A211" t="s">
        <v>534</v>
      </c>
      <c r="B211" t="s">
        <v>534</v>
      </c>
      <c r="C211" t="s">
        <v>535</v>
      </c>
      <c r="D211" t="s">
        <v>105</v>
      </c>
      <c r="E211">
        <v>1000</v>
      </c>
      <c r="F211" t="s">
        <v>329</v>
      </c>
      <c r="G211" s="1">
        <v>44449</v>
      </c>
      <c r="H211" s="1">
        <v>44449</v>
      </c>
      <c r="I211" t="b">
        <v>0</v>
      </c>
      <c r="J211">
        <v>15.39</v>
      </c>
      <c r="K211" s="1">
        <v>44452</v>
      </c>
      <c r="L211">
        <v>0.51100000000000001</v>
      </c>
      <c r="M211" s="1">
        <v>44918</v>
      </c>
      <c r="N211">
        <v>4.3600000000000003</v>
      </c>
      <c r="O211" s="1">
        <v>46204</v>
      </c>
      <c r="P211">
        <v>1206</v>
      </c>
      <c r="Q211" t="s">
        <v>21</v>
      </c>
      <c r="R211" t="str">
        <f t="shared" si="6"/>
        <v>has not made new highs</v>
      </c>
      <c r="S211" s="15">
        <f t="shared" si="7"/>
        <v>29.117416829745601</v>
      </c>
    </row>
    <row r="212" spans="1:19" x14ac:dyDescent="0.35">
      <c r="A212" t="s">
        <v>536</v>
      </c>
      <c r="B212" t="s">
        <v>536</v>
      </c>
      <c r="C212" t="s">
        <v>537</v>
      </c>
      <c r="D212" t="s">
        <v>68</v>
      </c>
      <c r="E212">
        <v>8000</v>
      </c>
      <c r="F212" t="s">
        <v>523</v>
      </c>
      <c r="G212" s="1">
        <v>44400</v>
      </c>
      <c r="H212" s="1">
        <v>44936</v>
      </c>
      <c r="I212" t="b">
        <v>1</v>
      </c>
      <c r="J212">
        <v>170.87</v>
      </c>
      <c r="K212" s="1">
        <v>45993</v>
      </c>
      <c r="L212">
        <v>1.1599999999999999</v>
      </c>
      <c r="M212" s="1">
        <v>45246</v>
      </c>
      <c r="N212">
        <v>71.709999999999994</v>
      </c>
      <c r="O212" s="1">
        <v>46204</v>
      </c>
      <c r="P212">
        <v>871</v>
      </c>
      <c r="Q212" t="s">
        <v>21</v>
      </c>
      <c r="R212" t="str">
        <f t="shared" si="6"/>
        <v>has made new highs</v>
      </c>
      <c r="S212" s="15">
        <f t="shared" si="7"/>
        <v>146.30172413793105</v>
      </c>
    </row>
    <row r="213" spans="1:19" x14ac:dyDescent="0.35">
      <c r="A213" t="s">
        <v>538</v>
      </c>
      <c r="B213" t="s">
        <v>538</v>
      </c>
      <c r="C213" t="s">
        <v>539</v>
      </c>
      <c r="D213" t="s">
        <v>30</v>
      </c>
      <c r="G213" s="1">
        <v>45590</v>
      </c>
      <c r="H213" s="1">
        <v>45590</v>
      </c>
      <c r="I213" t="b">
        <v>0</v>
      </c>
      <c r="J213">
        <v>44</v>
      </c>
      <c r="K213" s="1">
        <v>45706</v>
      </c>
      <c r="L213">
        <v>5.18</v>
      </c>
      <c r="M213" s="1">
        <v>46199</v>
      </c>
      <c r="N213">
        <v>5.71</v>
      </c>
      <c r="O213" s="1">
        <v>46204</v>
      </c>
      <c r="P213">
        <v>420</v>
      </c>
      <c r="Q213" t="s">
        <v>21</v>
      </c>
      <c r="R213" t="str">
        <f t="shared" si="6"/>
        <v>has not made new highs</v>
      </c>
      <c r="S213" s="15">
        <f t="shared" si="7"/>
        <v>7.494208494208495</v>
      </c>
    </row>
    <row r="214" spans="1:19" x14ac:dyDescent="0.35">
      <c r="A214" t="s">
        <v>540</v>
      </c>
      <c r="B214" t="s">
        <v>540</v>
      </c>
      <c r="C214" t="s">
        <v>541</v>
      </c>
      <c r="D214" t="s">
        <v>30</v>
      </c>
      <c r="E214">
        <v>4700</v>
      </c>
      <c r="F214" t="s">
        <v>300</v>
      </c>
      <c r="G214" s="1">
        <v>44861</v>
      </c>
      <c r="H214" s="1">
        <v>44866</v>
      </c>
      <c r="I214" t="b">
        <v>1</v>
      </c>
      <c r="J214">
        <v>32.82</v>
      </c>
      <c r="K214" s="1">
        <v>45504</v>
      </c>
      <c r="L214">
        <v>10.425000000000001</v>
      </c>
      <c r="M214" s="1">
        <v>45979</v>
      </c>
      <c r="N214">
        <v>27.74</v>
      </c>
      <c r="O214" s="1">
        <v>46204</v>
      </c>
      <c r="P214">
        <v>918</v>
      </c>
      <c r="Q214" t="s">
        <v>21</v>
      </c>
      <c r="R214" t="str">
        <f t="shared" si="6"/>
        <v>has not made new highs</v>
      </c>
      <c r="S214" s="15">
        <f t="shared" si="7"/>
        <v>2.1482014388489206</v>
      </c>
    </row>
    <row r="215" spans="1:19" x14ac:dyDescent="0.35">
      <c r="A215" t="s">
        <v>542</v>
      </c>
      <c r="B215" t="s">
        <v>542</v>
      </c>
      <c r="C215" t="s">
        <v>543</v>
      </c>
      <c r="D215" t="s">
        <v>41</v>
      </c>
      <c r="G215" s="1">
        <v>44432</v>
      </c>
      <c r="H215" s="1">
        <v>44432</v>
      </c>
      <c r="I215" t="b">
        <v>0</v>
      </c>
      <c r="J215">
        <v>12.3</v>
      </c>
      <c r="K215" s="1">
        <v>44468</v>
      </c>
      <c r="L215">
        <v>4.0350000000000001</v>
      </c>
      <c r="M215" s="1">
        <v>44987</v>
      </c>
      <c r="N215">
        <v>6.18</v>
      </c>
      <c r="O215" s="1">
        <v>46204</v>
      </c>
      <c r="P215">
        <v>1218</v>
      </c>
      <c r="Q215" t="s">
        <v>21</v>
      </c>
      <c r="R215" t="str">
        <f t="shared" si="6"/>
        <v>has not made new highs</v>
      </c>
      <c r="S215" s="15">
        <f t="shared" si="7"/>
        <v>2.0483271375464684</v>
      </c>
    </row>
    <row r="216" spans="1:19" x14ac:dyDescent="0.35">
      <c r="A216" t="s">
        <v>544</v>
      </c>
      <c r="B216" t="s">
        <v>544</v>
      </c>
      <c r="C216" t="s">
        <v>545</v>
      </c>
      <c r="D216" t="s">
        <v>37</v>
      </c>
      <c r="E216">
        <v>7370</v>
      </c>
      <c r="F216" t="s">
        <v>34</v>
      </c>
      <c r="G216" s="1">
        <v>44307</v>
      </c>
      <c r="H216" s="1">
        <v>44379</v>
      </c>
      <c r="I216" t="b">
        <v>1</v>
      </c>
      <c r="J216">
        <v>43</v>
      </c>
      <c r="K216" s="1">
        <v>45348</v>
      </c>
      <c r="L216">
        <v>7.64</v>
      </c>
      <c r="M216" s="1">
        <v>45968</v>
      </c>
      <c r="N216">
        <v>11.22</v>
      </c>
      <c r="O216" s="1">
        <v>46204</v>
      </c>
      <c r="P216">
        <v>1254</v>
      </c>
      <c r="Q216" t="s">
        <v>21</v>
      </c>
      <c r="R216" t="str">
        <f t="shared" si="6"/>
        <v>has not made new highs</v>
      </c>
      <c r="S216" s="15">
        <f t="shared" si="7"/>
        <v>4.6282722513089007</v>
      </c>
    </row>
    <row r="217" spans="1:19" x14ac:dyDescent="0.35">
      <c r="A217" t="s">
        <v>546</v>
      </c>
      <c r="B217" t="s">
        <v>546</v>
      </c>
      <c r="C217" t="s">
        <v>547</v>
      </c>
      <c r="D217" t="s">
        <v>45</v>
      </c>
      <c r="E217">
        <v>6500</v>
      </c>
      <c r="F217" t="s">
        <v>548</v>
      </c>
      <c r="G217" s="1">
        <v>45561</v>
      </c>
      <c r="H217" s="1">
        <v>45566</v>
      </c>
      <c r="I217" t="b">
        <v>1</v>
      </c>
      <c r="J217">
        <v>31.87</v>
      </c>
      <c r="K217" s="1">
        <v>46199</v>
      </c>
      <c r="L217">
        <v>20.16</v>
      </c>
      <c r="M217" s="1">
        <v>45566</v>
      </c>
      <c r="N217">
        <v>30</v>
      </c>
      <c r="O217" s="1">
        <v>46204</v>
      </c>
      <c r="P217">
        <v>438</v>
      </c>
      <c r="Q217" t="s">
        <v>21</v>
      </c>
      <c r="R217" t="str">
        <f t="shared" si="6"/>
        <v>has made new highs</v>
      </c>
      <c r="S217" s="15">
        <f t="shared" si="7"/>
        <v>0.58085317460317465</v>
      </c>
    </row>
    <row r="218" spans="1:19" x14ac:dyDescent="0.35">
      <c r="A218" t="s">
        <v>549</v>
      </c>
      <c r="B218" t="s">
        <v>549</v>
      </c>
      <c r="C218" t="s">
        <v>550</v>
      </c>
      <c r="D218" t="s">
        <v>45</v>
      </c>
      <c r="E218">
        <v>7389</v>
      </c>
      <c r="F218" t="s">
        <v>38</v>
      </c>
      <c r="G218" s="1">
        <v>44375</v>
      </c>
      <c r="H218" s="1">
        <v>44379</v>
      </c>
      <c r="I218" t="b">
        <v>1</v>
      </c>
      <c r="J218">
        <v>11.29</v>
      </c>
      <c r="K218" s="1">
        <v>45621</v>
      </c>
      <c r="L218">
        <v>3.3250000000000002</v>
      </c>
      <c r="M218" s="1">
        <v>44693</v>
      </c>
      <c r="N218">
        <v>7.09</v>
      </c>
      <c r="O218" s="1">
        <v>46204</v>
      </c>
      <c r="P218">
        <v>1254</v>
      </c>
      <c r="Q218" t="s">
        <v>21</v>
      </c>
      <c r="R218" t="str">
        <f t="shared" si="6"/>
        <v>has made new highs</v>
      </c>
      <c r="S218" s="15">
        <f t="shared" si="7"/>
        <v>2.3954887218045107</v>
      </c>
    </row>
    <row r="219" spans="1:19" x14ac:dyDescent="0.35">
      <c r="A219" t="s">
        <v>551</v>
      </c>
      <c r="B219" t="s">
        <v>551</v>
      </c>
      <c r="C219" t="s">
        <v>552</v>
      </c>
      <c r="D219" t="s">
        <v>19</v>
      </c>
      <c r="E219">
        <v>2821</v>
      </c>
      <c r="F219" t="s">
        <v>553</v>
      </c>
      <c r="G219" s="1">
        <v>44273</v>
      </c>
      <c r="H219" s="1">
        <v>44379</v>
      </c>
      <c r="I219" t="b">
        <v>1</v>
      </c>
      <c r="J219">
        <v>24.791799999999999</v>
      </c>
      <c r="K219" s="1">
        <v>44379</v>
      </c>
      <c r="L219">
        <v>2.3849999999999998</v>
      </c>
      <c r="M219" s="1">
        <v>45303</v>
      </c>
      <c r="N219">
        <v>8.01</v>
      </c>
      <c r="O219" s="1">
        <v>46204</v>
      </c>
      <c r="P219">
        <v>1254</v>
      </c>
      <c r="Q219" t="s">
        <v>21</v>
      </c>
      <c r="R219" t="str">
        <f t="shared" si="6"/>
        <v>has not made new highs</v>
      </c>
      <c r="S219" s="15">
        <f t="shared" si="7"/>
        <v>9.3948846960167707</v>
      </c>
    </row>
    <row r="220" spans="1:19" x14ac:dyDescent="0.35">
      <c r="A220" t="s">
        <v>554</v>
      </c>
      <c r="B220" t="s">
        <v>554</v>
      </c>
      <c r="C220" t="s">
        <v>555</v>
      </c>
      <c r="D220" t="s">
        <v>84</v>
      </c>
      <c r="E220">
        <v>1531</v>
      </c>
      <c r="F220" t="s">
        <v>445</v>
      </c>
      <c r="G220" s="1">
        <v>44217</v>
      </c>
      <c r="H220" s="1">
        <v>44379</v>
      </c>
      <c r="I220" t="b">
        <v>1</v>
      </c>
      <c r="J220">
        <v>44.38</v>
      </c>
      <c r="K220" s="1">
        <v>45379</v>
      </c>
      <c r="L220">
        <v>8.17</v>
      </c>
      <c r="M220" s="1">
        <v>44923</v>
      </c>
      <c r="N220">
        <v>16.39</v>
      </c>
      <c r="O220" s="1">
        <v>46204</v>
      </c>
      <c r="P220">
        <v>1254</v>
      </c>
      <c r="Q220" t="s">
        <v>21</v>
      </c>
      <c r="R220" t="str">
        <f t="shared" si="6"/>
        <v>has made new highs</v>
      </c>
      <c r="S220" s="15">
        <f t="shared" si="7"/>
        <v>4.4320685434516527</v>
      </c>
    </row>
    <row r="221" spans="1:19" x14ac:dyDescent="0.35">
      <c r="A221" t="s">
        <v>556</v>
      </c>
      <c r="B221" t="s">
        <v>556</v>
      </c>
      <c r="C221" t="s">
        <v>557</v>
      </c>
      <c r="D221" t="s">
        <v>30</v>
      </c>
      <c r="E221">
        <v>3760</v>
      </c>
      <c r="F221" t="s">
        <v>144</v>
      </c>
      <c r="G221" s="1">
        <v>44442</v>
      </c>
      <c r="H221" s="1">
        <v>44442</v>
      </c>
      <c r="I221" t="b">
        <v>0</v>
      </c>
      <c r="J221">
        <v>26.66</v>
      </c>
      <c r="K221" s="1">
        <v>45688</v>
      </c>
      <c r="L221">
        <v>1.67</v>
      </c>
      <c r="M221" s="1">
        <v>44923</v>
      </c>
      <c r="N221">
        <v>11.97</v>
      </c>
      <c r="O221" s="1">
        <v>46204</v>
      </c>
      <c r="P221">
        <v>1210</v>
      </c>
      <c r="Q221" t="s">
        <v>21</v>
      </c>
      <c r="R221" t="str">
        <f t="shared" si="6"/>
        <v>has made new highs</v>
      </c>
      <c r="S221" s="15">
        <f t="shared" si="7"/>
        <v>14.964071856287427</v>
      </c>
    </row>
    <row r="222" spans="1:19" x14ac:dyDescent="0.35">
      <c r="A222" t="s">
        <v>558</v>
      </c>
      <c r="B222" t="s">
        <v>558</v>
      </c>
      <c r="C222" t="s">
        <v>559</v>
      </c>
      <c r="D222" t="s">
        <v>45</v>
      </c>
      <c r="E222">
        <v>6331</v>
      </c>
      <c r="F222" t="s">
        <v>490</v>
      </c>
      <c r="G222" s="1">
        <v>44939</v>
      </c>
      <c r="H222" s="1">
        <v>44939</v>
      </c>
      <c r="I222" t="b">
        <v>0</v>
      </c>
      <c r="J222">
        <v>65.05</v>
      </c>
      <c r="K222" s="1">
        <v>45810</v>
      </c>
      <c r="L222">
        <v>17.5</v>
      </c>
      <c r="M222" s="1">
        <v>44946</v>
      </c>
      <c r="N222">
        <v>59.51</v>
      </c>
      <c r="O222" s="1">
        <v>46204</v>
      </c>
      <c r="P222">
        <v>868</v>
      </c>
      <c r="Q222" t="s">
        <v>21</v>
      </c>
      <c r="R222" t="str">
        <f t="shared" si="6"/>
        <v>has made new highs</v>
      </c>
      <c r="S222" s="15">
        <f t="shared" si="7"/>
        <v>2.7171428571428571</v>
      </c>
    </row>
    <row r="223" spans="1:19" x14ac:dyDescent="0.35">
      <c r="A223" t="s">
        <v>560</v>
      </c>
      <c r="B223" t="s">
        <v>560</v>
      </c>
      <c r="C223" t="s">
        <v>561</v>
      </c>
      <c r="D223" t="s">
        <v>41</v>
      </c>
      <c r="G223" s="1">
        <v>44263</v>
      </c>
      <c r="H223" s="1">
        <v>44379</v>
      </c>
      <c r="I223" t="b">
        <v>1</v>
      </c>
      <c r="J223">
        <v>21.3</v>
      </c>
      <c r="K223" s="1">
        <v>44406</v>
      </c>
      <c r="L223">
        <v>2.52</v>
      </c>
      <c r="M223" s="1">
        <v>46184</v>
      </c>
      <c r="N223">
        <v>2.83</v>
      </c>
      <c r="O223" s="1">
        <v>46204</v>
      </c>
      <c r="P223">
        <v>1254</v>
      </c>
      <c r="Q223" t="s">
        <v>21</v>
      </c>
      <c r="R223" t="str">
        <f t="shared" si="6"/>
        <v>has not made new highs</v>
      </c>
      <c r="S223" s="15">
        <f t="shared" si="7"/>
        <v>7.4523809523809526</v>
      </c>
    </row>
    <row r="224" spans="1:19" x14ac:dyDescent="0.35">
      <c r="A224" t="s">
        <v>562</v>
      </c>
      <c r="B224" t="s">
        <v>562</v>
      </c>
      <c r="C224" t="s">
        <v>563</v>
      </c>
      <c r="D224" t="s">
        <v>24</v>
      </c>
      <c r="E224">
        <v>1311</v>
      </c>
      <c r="F224" t="s">
        <v>87</v>
      </c>
      <c r="G224" s="1">
        <v>44305</v>
      </c>
      <c r="H224" s="1">
        <v>45337</v>
      </c>
      <c r="I224" t="b">
        <v>1</v>
      </c>
      <c r="J224">
        <v>35</v>
      </c>
      <c r="K224" s="1">
        <v>45796</v>
      </c>
      <c r="L224">
        <v>2.88</v>
      </c>
      <c r="M224" s="1">
        <v>46203</v>
      </c>
      <c r="N224">
        <v>4.4000000000000004</v>
      </c>
      <c r="O224" s="1">
        <v>46204</v>
      </c>
      <c r="P224">
        <v>595</v>
      </c>
      <c r="Q224" t="s">
        <v>21</v>
      </c>
      <c r="R224" t="str">
        <f t="shared" si="6"/>
        <v>has not made new highs</v>
      </c>
      <c r="S224" s="15">
        <f t="shared" si="7"/>
        <v>11.152777777777777</v>
      </c>
    </row>
    <row r="225" spans="1:19" x14ac:dyDescent="0.35">
      <c r="A225" t="s">
        <v>564</v>
      </c>
      <c r="B225" t="s">
        <v>564</v>
      </c>
      <c r="C225" t="s">
        <v>565</v>
      </c>
      <c r="D225" t="s">
        <v>84</v>
      </c>
      <c r="E225">
        <v>7510</v>
      </c>
      <c r="F225" t="s">
        <v>566</v>
      </c>
      <c r="G225" s="1">
        <v>44377</v>
      </c>
      <c r="H225" s="1">
        <v>44509</v>
      </c>
      <c r="I225" t="b">
        <v>1</v>
      </c>
      <c r="J225">
        <v>28</v>
      </c>
      <c r="K225" s="1">
        <v>44509</v>
      </c>
      <c r="L225">
        <v>2.13</v>
      </c>
      <c r="M225" s="1">
        <v>46204</v>
      </c>
      <c r="N225">
        <v>2.2000000000000002</v>
      </c>
      <c r="O225" s="1">
        <v>46204</v>
      </c>
      <c r="P225">
        <v>1164</v>
      </c>
      <c r="Q225" t="s">
        <v>21</v>
      </c>
      <c r="R225" t="str">
        <f t="shared" si="6"/>
        <v>has not made new highs</v>
      </c>
      <c r="S225" s="15">
        <f t="shared" si="7"/>
        <v>12.145539906103288</v>
      </c>
    </row>
    <row r="226" spans="1:19" x14ac:dyDescent="0.35">
      <c r="A226" t="s">
        <v>567</v>
      </c>
      <c r="B226" t="s">
        <v>567</v>
      </c>
      <c r="C226" t="s">
        <v>568</v>
      </c>
      <c r="D226" t="s">
        <v>45</v>
      </c>
      <c r="E226">
        <v>6331</v>
      </c>
      <c r="F226" t="s">
        <v>490</v>
      </c>
      <c r="G226" s="1">
        <v>45240</v>
      </c>
      <c r="H226" s="1">
        <v>45240</v>
      </c>
      <c r="I226" t="b">
        <v>0</v>
      </c>
      <c r="J226">
        <v>34.53</v>
      </c>
      <c r="K226" s="1">
        <v>46204</v>
      </c>
      <c r="L226">
        <v>12.44</v>
      </c>
      <c r="M226" s="1">
        <v>45392</v>
      </c>
      <c r="N226">
        <v>33.78</v>
      </c>
      <c r="O226" s="1">
        <v>46204</v>
      </c>
      <c r="P226">
        <v>660</v>
      </c>
      <c r="Q226" t="s">
        <v>21</v>
      </c>
      <c r="R226" t="str">
        <f t="shared" si="6"/>
        <v>has made new highs</v>
      </c>
      <c r="S226" s="15">
        <f t="shared" si="7"/>
        <v>1.7757234726688107</v>
      </c>
    </row>
    <row r="227" spans="1:19" x14ac:dyDescent="0.35">
      <c r="A227" t="s">
        <v>569</v>
      </c>
      <c r="B227" t="s">
        <v>569</v>
      </c>
      <c r="C227" t="s">
        <v>570</v>
      </c>
      <c r="D227" t="s">
        <v>45</v>
      </c>
      <c r="E227">
        <v>6282</v>
      </c>
      <c r="F227" t="s">
        <v>49</v>
      </c>
      <c r="G227" s="1">
        <v>44153</v>
      </c>
      <c r="H227" s="1">
        <v>44379</v>
      </c>
      <c r="I227" t="b">
        <v>1</v>
      </c>
      <c r="J227">
        <v>14.48</v>
      </c>
      <c r="K227" s="1">
        <v>45708</v>
      </c>
      <c r="L227">
        <v>6.26</v>
      </c>
      <c r="M227" s="1">
        <v>44728</v>
      </c>
      <c r="N227">
        <v>12.71</v>
      </c>
      <c r="O227" s="1">
        <v>46204</v>
      </c>
      <c r="P227">
        <v>1254</v>
      </c>
      <c r="Q227" t="s">
        <v>21</v>
      </c>
      <c r="R227" t="str">
        <f t="shared" si="6"/>
        <v>has made new highs</v>
      </c>
      <c r="S227" s="15">
        <f t="shared" si="7"/>
        <v>1.3130990415335464</v>
      </c>
    </row>
    <row r="228" spans="1:19" x14ac:dyDescent="0.35">
      <c r="A228" t="s">
        <v>571</v>
      </c>
      <c r="B228" t="s">
        <v>571</v>
      </c>
      <c r="C228" t="s">
        <v>572</v>
      </c>
      <c r="D228" t="s">
        <v>27</v>
      </c>
      <c r="E228">
        <v>3578</v>
      </c>
      <c r="F228" t="s">
        <v>573</v>
      </c>
      <c r="G228" s="1">
        <v>45210</v>
      </c>
      <c r="H228" s="1">
        <v>45216</v>
      </c>
      <c r="I228" t="b">
        <v>1</v>
      </c>
      <c r="J228">
        <v>48.5</v>
      </c>
      <c r="K228" s="1">
        <v>46085</v>
      </c>
      <c r="L228">
        <v>18.414999999999999</v>
      </c>
      <c r="M228" s="1">
        <v>45373</v>
      </c>
      <c r="N228">
        <v>44.09</v>
      </c>
      <c r="O228" s="1">
        <v>46204</v>
      </c>
      <c r="P228">
        <v>678</v>
      </c>
      <c r="Q228" t="s">
        <v>21</v>
      </c>
      <c r="R228" t="str">
        <f t="shared" si="6"/>
        <v>has made new highs</v>
      </c>
      <c r="S228" s="15">
        <f t="shared" si="7"/>
        <v>1.6337225088243281</v>
      </c>
    </row>
    <row r="229" spans="1:19" x14ac:dyDescent="0.35">
      <c r="A229" t="s">
        <v>574</v>
      </c>
      <c r="B229" t="s">
        <v>574</v>
      </c>
      <c r="C229" t="s">
        <v>575</v>
      </c>
      <c r="D229" t="s">
        <v>45</v>
      </c>
      <c r="G229" s="1">
        <v>45030</v>
      </c>
      <c r="H229" s="1">
        <v>45030</v>
      </c>
      <c r="I229" t="b">
        <v>0</v>
      </c>
      <c r="J229">
        <v>27.8</v>
      </c>
      <c r="K229" s="1">
        <v>45945</v>
      </c>
      <c r="L229">
        <v>2.77</v>
      </c>
      <c r="M229" s="1">
        <v>45222</v>
      </c>
      <c r="N229">
        <v>15.44</v>
      </c>
      <c r="O229" s="1">
        <v>46204</v>
      </c>
      <c r="P229">
        <v>806</v>
      </c>
      <c r="Q229" t="s">
        <v>21</v>
      </c>
      <c r="R229" t="str">
        <f t="shared" si="6"/>
        <v>has made new highs</v>
      </c>
      <c r="S229" s="15">
        <f t="shared" si="7"/>
        <v>9.0361010830324915</v>
      </c>
    </row>
    <row r="230" spans="1:19" x14ac:dyDescent="0.35">
      <c r="A230" t="s">
        <v>576</v>
      </c>
      <c r="B230" t="s">
        <v>576</v>
      </c>
      <c r="C230" t="s">
        <v>577</v>
      </c>
      <c r="D230" t="s">
        <v>27</v>
      </c>
      <c r="E230">
        <v>7372</v>
      </c>
      <c r="F230" t="s">
        <v>20</v>
      </c>
      <c r="G230" s="1">
        <v>44370</v>
      </c>
      <c r="H230" s="1">
        <v>44379</v>
      </c>
      <c r="I230" t="b">
        <v>1</v>
      </c>
      <c r="J230">
        <v>23.489899999999999</v>
      </c>
      <c r="K230" s="1">
        <v>44389</v>
      </c>
      <c r="L230">
        <v>4.7149999999999999</v>
      </c>
      <c r="M230" s="1">
        <v>46135</v>
      </c>
      <c r="N230">
        <v>5.32</v>
      </c>
      <c r="O230" s="1">
        <v>46204</v>
      </c>
      <c r="P230">
        <v>1254</v>
      </c>
      <c r="Q230" t="s">
        <v>21</v>
      </c>
      <c r="R230" t="str">
        <f t="shared" si="6"/>
        <v>has not made new highs</v>
      </c>
      <c r="S230" s="15">
        <f t="shared" si="7"/>
        <v>3.9819512195121951</v>
      </c>
    </row>
    <row r="231" spans="1:19" x14ac:dyDescent="0.35">
      <c r="A231" t="s">
        <v>578</v>
      </c>
      <c r="B231" t="s">
        <v>578</v>
      </c>
      <c r="C231" t="s">
        <v>579</v>
      </c>
      <c r="D231" t="s">
        <v>45</v>
      </c>
      <c r="G231" s="1">
        <v>44218</v>
      </c>
      <c r="H231" s="1">
        <v>44379</v>
      </c>
      <c r="I231" t="b">
        <v>1</v>
      </c>
      <c r="J231">
        <v>19.489899999999999</v>
      </c>
      <c r="K231" s="1">
        <v>44518</v>
      </c>
      <c r="L231">
        <v>9.43</v>
      </c>
      <c r="M231" s="1">
        <v>45756</v>
      </c>
      <c r="N231">
        <v>11</v>
      </c>
      <c r="O231" s="1">
        <v>46204</v>
      </c>
      <c r="P231">
        <v>1254</v>
      </c>
      <c r="Q231" t="s">
        <v>21</v>
      </c>
      <c r="R231" t="str">
        <f t="shared" si="6"/>
        <v>has not made new highs</v>
      </c>
      <c r="S231" s="15">
        <f t="shared" si="7"/>
        <v>1.066797454931071</v>
      </c>
    </row>
    <row r="232" spans="1:19" x14ac:dyDescent="0.35">
      <c r="A232" t="s">
        <v>580</v>
      </c>
      <c r="B232" t="s">
        <v>580</v>
      </c>
      <c r="C232" t="s">
        <v>581</v>
      </c>
      <c r="D232" t="s">
        <v>27</v>
      </c>
      <c r="E232">
        <v>3578</v>
      </c>
      <c r="F232" t="s">
        <v>573</v>
      </c>
      <c r="G232" s="1">
        <v>45152</v>
      </c>
      <c r="H232" s="1">
        <v>45152</v>
      </c>
      <c r="I232" t="b">
        <v>0</v>
      </c>
      <c r="J232">
        <v>89.05</v>
      </c>
      <c r="K232" s="1">
        <v>46135</v>
      </c>
      <c r="L232">
        <v>16.5</v>
      </c>
      <c r="M232" s="1">
        <v>45176</v>
      </c>
      <c r="N232">
        <v>83.33</v>
      </c>
      <c r="O232" s="1">
        <v>46204</v>
      </c>
      <c r="P232">
        <v>723</v>
      </c>
      <c r="Q232" t="s">
        <v>21</v>
      </c>
      <c r="R232" t="str">
        <f t="shared" si="6"/>
        <v>has made new highs</v>
      </c>
      <c r="S232" s="15">
        <f t="shared" si="7"/>
        <v>4.3969696969696965</v>
      </c>
    </row>
    <row r="233" spans="1:19" x14ac:dyDescent="0.35">
      <c r="A233" t="s">
        <v>582</v>
      </c>
      <c r="B233" t="s">
        <v>582</v>
      </c>
      <c r="C233" t="s">
        <v>583</v>
      </c>
      <c r="D233" t="s">
        <v>105</v>
      </c>
      <c r="E233">
        <v>2621</v>
      </c>
      <c r="F233" t="s">
        <v>584</v>
      </c>
      <c r="G233" s="1">
        <v>44453</v>
      </c>
      <c r="H233" s="1">
        <v>44470</v>
      </c>
      <c r="I233" t="b">
        <v>1</v>
      </c>
      <c r="J233">
        <v>98.02</v>
      </c>
      <c r="K233" s="1">
        <v>45607</v>
      </c>
      <c r="L233">
        <v>23.1</v>
      </c>
      <c r="M233" s="1">
        <v>44475</v>
      </c>
      <c r="N233">
        <v>37.450000000000003</v>
      </c>
      <c r="O233" s="1">
        <v>46204</v>
      </c>
      <c r="P233">
        <v>1191</v>
      </c>
      <c r="Q233" t="s">
        <v>21</v>
      </c>
      <c r="R233" t="str">
        <f t="shared" si="6"/>
        <v>has made new highs</v>
      </c>
      <c r="S233" s="15">
        <f t="shared" si="7"/>
        <v>3.2432900432900427</v>
      </c>
    </row>
    <row r="234" spans="1:19" x14ac:dyDescent="0.35">
      <c r="A234" t="s">
        <v>585</v>
      </c>
      <c r="B234" t="s">
        <v>585</v>
      </c>
      <c r="C234" t="s">
        <v>586</v>
      </c>
      <c r="D234" t="s">
        <v>45</v>
      </c>
      <c r="E234">
        <v>6331</v>
      </c>
      <c r="F234" t="s">
        <v>490</v>
      </c>
      <c r="G234" s="1">
        <v>44132</v>
      </c>
      <c r="H234" s="1">
        <v>44379</v>
      </c>
      <c r="I234" t="b">
        <v>1</v>
      </c>
      <c r="J234">
        <v>181.14</v>
      </c>
      <c r="K234" s="1">
        <v>45740</v>
      </c>
      <c r="L234">
        <v>3.31</v>
      </c>
      <c r="M234" s="1">
        <v>45000</v>
      </c>
      <c r="N234">
        <v>60.01</v>
      </c>
      <c r="O234" s="1">
        <v>46204</v>
      </c>
      <c r="P234">
        <v>1254</v>
      </c>
      <c r="Q234" t="s">
        <v>21</v>
      </c>
      <c r="R234" t="str">
        <f t="shared" si="6"/>
        <v>has made new highs</v>
      </c>
      <c r="S234" s="15">
        <f t="shared" si="7"/>
        <v>53.725075528700899</v>
      </c>
    </row>
    <row r="235" spans="1:19" x14ac:dyDescent="0.35">
      <c r="A235" t="s">
        <v>587</v>
      </c>
      <c r="B235" t="s">
        <v>587</v>
      </c>
      <c r="C235" t="s">
        <v>588</v>
      </c>
      <c r="D235" t="s">
        <v>24</v>
      </c>
      <c r="E235">
        <v>1311</v>
      </c>
      <c r="F235" t="s">
        <v>87</v>
      </c>
      <c r="G235" s="1">
        <v>45561</v>
      </c>
      <c r="H235" s="1">
        <v>45561</v>
      </c>
      <c r="I235" t="b">
        <v>0</v>
      </c>
      <c r="J235">
        <v>32.81</v>
      </c>
      <c r="K235" s="1">
        <v>46083</v>
      </c>
      <c r="L235">
        <v>15</v>
      </c>
      <c r="M235" s="1">
        <v>45756</v>
      </c>
      <c r="N235">
        <v>27.2</v>
      </c>
      <c r="O235" s="1">
        <v>46204</v>
      </c>
      <c r="P235">
        <v>441</v>
      </c>
      <c r="Q235" t="s">
        <v>21</v>
      </c>
      <c r="R235" t="str">
        <f t="shared" si="6"/>
        <v>has made new highs</v>
      </c>
      <c r="S235" s="15">
        <f t="shared" si="7"/>
        <v>1.1873333333333336</v>
      </c>
    </row>
    <row r="236" spans="1:19" x14ac:dyDescent="0.35">
      <c r="A236" t="s">
        <v>589</v>
      </c>
      <c r="B236" t="s">
        <v>589</v>
      </c>
      <c r="C236" t="s">
        <v>590</v>
      </c>
      <c r="D236" t="s">
        <v>105</v>
      </c>
      <c r="E236">
        <v>2800</v>
      </c>
      <c r="F236" t="s">
        <v>591</v>
      </c>
      <c r="G236" s="1">
        <v>44509</v>
      </c>
      <c r="H236" s="1">
        <v>44509</v>
      </c>
      <c r="I236" t="b">
        <v>0</v>
      </c>
      <c r="J236">
        <v>38.17</v>
      </c>
      <c r="K236" s="1">
        <v>46191</v>
      </c>
      <c r="L236">
        <v>2.79</v>
      </c>
      <c r="M236" s="1">
        <v>45231</v>
      </c>
      <c r="N236">
        <v>34.65</v>
      </c>
      <c r="O236" s="1">
        <v>46204</v>
      </c>
      <c r="P236">
        <v>1164</v>
      </c>
      <c r="Q236" t="s">
        <v>21</v>
      </c>
      <c r="R236" t="str">
        <f t="shared" si="6"/>
        <v>has made new highs</v>
      </c>
      <c r="S236" s="15">
        <f t="shared" si="7"/>
        <v>12.681003584229391</v>
      </c>
    </row>
    <row r="237" spans="1:19" x14ac:dyDescent="0.35">
      <c r="A237" t="s">
        <v>592</v>
      </c>
      <c r="B237" t="s">
        <v>592</v>
      </c>
      <c r="C237" t="s">
        <v>593</v>
      </c>
      <c r="D237" t="s">
        <v>68</v>
      </c>
      <c r="E237">
        <v>2834</v>
      </c>
      <c r="F237" t="s">
        <v>157</v>
      </c>
      <c r="G237" s="1">
        <v>44888</v>
      </c>
      <c r="H237" s="1">
        <v>44888</v>
      </c>
      <c r="I237" t="b">
        <v>0</v>
      </c>
      <c r="J237">
        <v>42.204999999999998</v>
      </c>
      <c r="K237" s="1">
        <v>46153</v>
      </c>
      <c r="L237">
        <v>5.6326000000000001</v>
      </c>
      <c r="M237" s="1">
        <v>45225</v>
      </c>
      <c r="N237">
        <v>35.17</v>
      </c>
      <c r="O237" s="1">
        <v>46204</v>
      </c>
      <c r="P237">
        <v>902</v>
      </c>
      <c r="Q237" t="s">
        <v>21</v>
      </c>
      <c r="R237" t="str">
        <f t="shared" si="6"/>
        <v>has made new highs</v>
      </c>
      <c r="S237" s="15">
        <f t="shared" si="7"/>
        <v>6.4929872527784687</v>
      </c>
    </row>
    <row r="238" spans="1:19" x14ac:dyDescent="0.35">
      <c r="A238" t="s">
        <v>594</v>
      </c>
      <c r="B238" t="s">
        <v>595</v>
      </c>
      <c r="C238" t="s">
        <v>596</v>
      </c>
      <c r="D238" t="s">
        <v>27</v>
      </c>
      <c r="E238">
        <v>7372</v>
      </c>
      <c r="F238" t="s">
        <v>20</v>
      </c>
      <c r="G238" s="1">
        <v>44482</v>
      </c>
      <c r="H238" s="1">
        <v>44482</v>
      </c>
      <c r="I238" t="b">
        <v>0</v>
      </c>
      <c r="J238">
        <v>27.434999999999999</v>
      </c>
      <c r="K238" s="1">
        <v>44519</v>
      </c>
      <c r="L238">
        <v>5.86</v>
      </c>
      <c r="M238" s="1">
        <v>44742</v>
      </c>
      <c r="N238">
        <v>10</v>
      </c>
      <c r="O238" s="1">
        <v>45944</v>
      </c>
      <c r="P238">
        <v>1005</v>
      </c>
      <c r="Q238" t="s">
        <v>21</v>
      </c>
      <c r="R238" t="str">
        <f t="shared" si="6"/>
        <v>has not made new highs</v>
      </c>
      <c r="S238" s="15">
        <f t="shared" si="7"/>
        <v>3.6817406143344709</v>
      </c>
    </row>
    <row r="239" spans="1:19" x14ac:dyDescent="0.35">
      <c r="A239" t="s">
        <v>597</v>
      </c>
      <c r="B239" t="s">
        <v>597</v>
      </c>
      <c r="C239" t="s">
        <v>598</v>
      </c>
      <c r="D239" t="s">
        <v>68</v>
      </c>
      <c r="E239">
        <v>8051</v>
      </c>
      <c r="F239" t="s">
        <v>599</v>
      </c>
      <c r="G239" s="1">
        <v>45393</v>
      </c>
      <c r="H239" s="1">
        <v>45393</v>
      </c>
      <c r="I239" t="b">
        <v>0</v>
      </c>
      <c r="J239">
        <v>45.13</v>
      </c>
      <c r="K239" s="1">
        <v>46204</v>
      </c>
      <c r="L239">
        <v>7.5</v>
      </c>
      <c r="M239" s="1">
        <v>45909</v>
      </c>
      <c r="N239">
        <v>44.32</v>
      </c>
      <c r="O239" s="1">
        <v>46204</v>
      </c>
      <c r="P239">
        <v>557</v>
      </c>
      <c r="Q239" t="s">
        <v>21</v>
      </c>
      <c r="R239" t="str">
        <f t="shared" si="6"/>
        <v>has made new highs</v>
      </c>
      <c r="S239" s="15">
        <f t="shared" si="7"/>
        <v>5.0173333333333341</v>
      </c>
    </row>
    <row r="240" spans="1:19" x14ac:dyDescent="0.35">
      <c r="A240" t="s">
        <v>600</v>
      </c>
      <c r="B240" t="s">
        <v>600</v>
      </c>
      <c r="C240" t="s">
        <v>601</v>
      </c>
      <c r="D240" t="s">
        <v>64</v>
      </c>
      <c r="E240">
        <v>2080</v>
      </c>
      <c r="F240" t="s">
        <v>602</v>
      </c>
      <c r="G240" s="1">
        <v>44490</v>
      </c>
      <c r="H240" s="1">
        <v>44490</v>
      </c>
      <c r="I240" t="b">
        <v>0</v>
      </c>
      <c r="J240">
        <v>85.83</v>
      </c>
      <c r="K240" s="1">
        <v>46191</v>
      </c>
      <c r="L240">
        <v>7.39</v>
      </c>
      <c r="M240" s="1">
        <v>44874</v>
      </c>
      <c r="N240">
        <v>68.98</v>
      </c>
      <c r="O240" s="1">
        <v>46204</v>
      </c>
      <c r="P240">
        <v>1177</v>
      </c>
      <c r="Q240" t="s">
        <v>21</v>
      </c>
      <c r="R240" t="str">
        <f t="shared" si="6"/>
        <v>has made new highs</v>
      </c>
      <c r="S240" s="15">
        <f t="shared" si="7"/>
        <v>10.614343707713125</v>
      </c>
    </row>
    <row r="241" spans="1:19" x14ac:dyDescent="0.35">
      <c r="A241" t="s">
        <v>603</v>
      </c>
      <c r="B241" t="s">
        <v>604</v>
      </c>
      <c r="C241" t="s">
        <v>605</v>
      </c>
      <c r="D241" t="s">
        <v>84</v>
      </c>
      <c r="E241">
        <v>7500</v>
      </c>
      <c r="F241" t="s">
        <v>502</v>
      </c>
      <c r="G241" s="1">
        <v>44372</v>
      </c>
      <c r="H241" s="1">
        <v>44379</v>
      </c>
      <c r="I241" t="b">
        <v>1</v>
      </c>
      <c r="J241">
        <v>24.489899999999999</v>
      </c>
      <c r="K241" s="1">
        <v>44403</v>
      </c>
      <c r="L241">
        <v>4.6100000000000003</v>
      </c>
      <c r="M241" s="1">
        <v>45944</v>
      </c>
      <c r="N241">
        <v>7.1</v>
      </c>
      <c r="O241" s="1">
        <v>46160</v>
      </c>
      <c r="P241">
        <v>1224</v>
      </c>
      <c r="Q241" t="s">
        <v>21</v>
      </c>
      <c r="R241" t="str">
        <f t="shared" si="6"/>
        <v>has not made new highs</v>
      </c>
      <c r="S241" s="15">
        <f t="shared" si="7"/>
        <v>4.3123427331887196</v>
      </c>
    </row>
    <row r="242" spans="1:19" x14ac:dyDescent="0.35">
      <c r="A242" t="s">
        <v>606</v>
      </c>
      <c r="B242" t="s">
        <v>606</v>
      </c>
      <c r="C242" t="s">
        <v>607</v>
      </c>
      <c r="D242" t="s">
        <v>27</v>
      </c>
      <c r="E242">
        <v>3714</v>
      </c>
      <c r="F242" t="s">
        <v>493</v>
      </c>
      <c r="G242" s="1">
        <v>44270</v>
      </c>
      <c r="H242" s="1">
        <v>44379</v>
      </c>
      <c r="I242" t="b">
        <v>1</v>
      </c>
      <c r="J242">
        <v>57.4</v>
      </c>
      <c r="K242" s="1">
        <v>44389</v>
      </c>
      <c r="L242">
        <v>2.2006999999999999</v>
      </c>
      <c r="M242" s="1">
        <v>45478</v>
      </c>
      <c r="N242">
        <v>27.8</v>
      </c>
      <c r="O242" s="1">
        <v>46204</v>
      </c>
      <c r="P242">
        <v>1254</v>
      </c>
      <c r="Q242" t="s">
        <v>21</v>
      </c>
      <c r="R242" t="str">
        <f t="shared" si="6"/>
        <v>has not made new highs</v>
      </c>
      <c r="S242" s="15">
        <f t="shared" si="7"/>
        <v>25.082610078611353</v>
      </c>
    </row>
    <row r="243" spans="1:19" x14ac:dyDescent="0.35">
      <c r="A243" t="s">
        <v>608</v>
      </c>
      <c r="B243" t="s">
        <v>608</v>
      </c>
      <c r="C243" t="s">
        <v>609</v>
      </c>
      <c r="D243" t="s">
        <v>30</v>
      </c>
      <c r="G243" s="1">
        <v>44224</v>
      </c>
      <c r="H243" s="1">
        <v>44379</v>
      </c>
      <c r="I243" t="b">
        <v>1</v>
      </c>
      <c r="J243">
        <v>91.23</v>
      </c>
      <c r="K243" s="1">
        <v>44637</v>
      </c>
      <c r="L243">
        <v>6.39</v>
      </c>
      <c r="M243" s="1">
        <v>45258</v>
      </c>
      <c r="N243">
        <v>25.23</v>
      </c>
      <c r="O243" s="1">
        <v>46204</v>
      </c>
      <c r="P243">
        <v>1254</v>
      </c>
      <c r="Q243" t="s">
        <v>21</v>
      </c>
      <c r="R243" t="str">
        <f t="shared" si="6"/>
        <v>has not made new highs</v>
      </c>
      <c r="S243" s="15">
        <f t="shared" si="7"/>
        <v>13.27699530516432</v>
      </c>
    </row>
    <row r="244" spans="1:19" x14ac:dyDescent="0.35">
      <c r="A244" t="s">
        <v>610</v>
      </c>
      <c r="B244" t="s">
        <v>610</v>
      </c>
      <c r="C244" t="s">
        <v>611</v>
      </c>
      <c r="D244" t="s">
        <v>68</v>
      </c>
      <c r="E244">
        <v>2836</v>
      </c>
      <c r="F244" t="s">
        <v>418</v>
      </c>
      <c r="G244" s="1">
        <v>45316</v>
      </c>
      <c r="H244" s="1">
        <v>45316</v>
      </c>
      <c r="I244" t="b">
        <v>0</v>
      </c>
      <c r="J244">
        <v>77</v>
      </c>
      <c r="K244" s="1">
        <v>46203</v>
      </c>
      <c r="L244">
        <v>14.8</v>
      </c>
      <c r="M244" s="1">
        <v>45756</v>
      </c>
      <c r="N244">
        <v>70.89</v>
      </c>
      <c r="O244" s="1">
        <v>46204</v>
      </c>
      <c r="P244">
        <v>610</v>
      </c>
      <c r="Q244" t="s">
        <v>21</v>
      </c>
      <c r="R244" t="str">
        <f t="shared" si="6"/>
        <v>has made new highs</v>
      </c>
      <c r="S244" s="15">
        <f t="shared" si="7"/>
        <v>4.2027027027027026</v>
      </c>
    </row>
    <row r="245" spans="1:19" x14ac:dyDescent="0.35">
      <c r="A245" t="s">
        <v>612</v>
      </c>
      <c r="B245" t="s">
        <v>612</v>
      </c>
      <c r="C245" t="s">
        <v>613</v>
      </c>
      <c r="D245" t="s">
        <v>30</v>
      </c>
      <c r="E245">
        <v>4923</v>
      </c>
      <c r="F245" t="s">
        <v>614</v>
      </c>
      <c r="G245" s="1">
        <v>45400</v>
      </c>
      <c r="H245" s="1">
        <v>45400</v>
      </c>
      <c r="I245" t="b">
        <v>0</v>
      </c>
      <c r="J245">
        <v>42.984999999999999</v>
      </c>
      <c r="K245" s="1">
        <v>46148</v>
      </c>
      <c r="L245">
        <v>14.455</v>
      </c>
      <c r="M245" s="1">
        <v>45751</v>
      </c>
      <c r="N245">
        <v>28.49</v>
      </c>
      <c r="O245" s="1">
        <v>46204</v>
      </c>
      <c r="P245">
        <v>552</v>
      </c>
      <c r="Q245" t="s">
        <v>21</v>
      </c>
      <c r="R245" t="str">
        <f t="shared" si="6"/>
        <v>has made new highs</v>
      </c>
      <c r="S245" s="15">
        <f t="shared" si="7"/>
        <v>1.9737115185057075</v>
      </c>
    </row>
    <row r="246" spans="1:19" x14ac:dyDescent="0.35">
      <c r="A246" t="s">
        <v>615</v>
      </c>
      <c r="B246" t="s">
        <v>615</v>
      </c>
      <c r="C246" t="s">
        <v>616</v>
      </c>
      <c r="D246" t="s">
        <v>68</v>
      </c>
      <c r="E246">
        <v>2836</v>
      </c>
      <c r="F246" t="s">
        <v>418</v>
      </c>
      <c r="G246" s="1">
        <v>44302</v>
      </c>
      <c r="H246" s="1">
        <v>44379</v>
      </c>
      <c r="I246" t="b">
        <v>1</v>
      </c>
      <c r="J246">
        <v>42.81</v>
      </c>
      <c r="K246" s="1">
        <v>44390</v>
      </c>
      <c r="L246">
        <v>2.77</v>
      </c>
      <c r="M246" s="1">
        <v>46161</v>
      </c>
      <c r="N246">
        <v>3.67</v>
      </c>
      <c r="O246" s="1">
        <v>46204</v>
      </c>
      <c r="P246">
        <v>1254</v>
      </c>
      <c r="Q246" t="s">
        <v>21</v>
      </c>
      <c r="R246" t="str">
        <f t="shared" si="6"/>
        <v>has not made new highs</v>
      </c>
      <c r="S246" s="15">
        <f t="shared" si="7"/>
        <v>14.454873646209386</v>
      </c>
    </row>
    <row r="247" spans="1:19" x14ac:dyDescent="0.35">
      <c r="A247" t="s">
        <v>617</v>
      </c>
      <c r="B247" t="s">
        <v>617</v>
      </c>
      <c r="C247" t="s">
        <v>618</v>
      </c>
      <c r="D247" t="s">
        <v>37</v>
      </c>
      <c r="E247">
        <v>7990</v>
      </c>
      <c r="F247" t="s">
        <v>429</v>
      </c>
      <c r="G247" s="1">
        <v>45033</v>
      </c>
      <c r="H247" s="1">
        <v>45033</v>
      </c>
      <c r="I247" t="b">
        <v>0</v>
      </c>
      <c r="J247">
        <v>82.79</v>
      </c>
      <c r="K247" s="1">
        <v>46204</v>
      </c>
      <c r="L247">
        <v>27.55</v>
      </c>
      <c r="M247" s="1">
        <v>45237</v>
      </c>
      <c r="N247">
        <v>79.48</v>
      </c>
      <c r="O247" s="1">
        <v>46204</v>
      </c>
      <c r="P247">
        <v>805</v>
      </c>
      <c r="Q247" t="s">
        <v>21</v>
      </c>
      <c r="R247" t="str">
        <f t="shared" si="6"/>
        <v>has made new highs</v>
      </c>
      <c r="S247" s="15">
        <f t="shared" si="7"/>
        <v>2.0050816696914704</v>
      </c>
    </row>
    <row r="248" spans="1:19" x14ac:dyDescent="0.35">
      <c r="A248" t="s">
        <v>619</v>
      </c>
      <c r="B248" t="s">
        <v>619</v>
      </c>
      <c r="C248" t="s">
        <v>620</v>
      </c>
      <c r="D248" t="s">
        <v>27</v>
      </c>
      <c r="E248">
        <v>3812</v>
      </c>
      <c r="F248" t="s">
        <v>183</v>
      </c>
      <c r="G248" s="1">
        <v>44498</v>
      </c>
      <c r="H248" s="1">
        <v>44498</v>
      </c>
      <c r="I248" t="b">
        <v>0</v>
      </c>
      <c r="J248">
        <v>24.42</v>
      </c>
      <c r="K248" s="1">
        <v>46177</v>
      </c>
      <c r="L248">
        <v>1.59</v>
      </c>
      <c r="M248" s="1">
        <v>45009</v>
      </c>
      <c r="N248">
        <v>17.75</v>
      </c>
      <c r="O248" s="1">
        <v>46204</v>
      </c>
      <c r="P248">
        <v>1171</v>
      </c>
      <c r="Q248" t="s">
        <v>21</v>
      </c>
      <c r="R248" t="str">
        <f t="shared" si="6"/>
        <v>has made new highs</v>
      </c>
      <c r="S248" s="15">
        <f t="shared" si="7"/>
        <v>14.358490566037736</v>
      </c>
    </row>
    <row r="249" spans="1:19" x14ac:dyDescent="0.35">
      <c r="A249" t="s">
        <v>621</v>
      </c>
      <c r="B249" t="s">
        <v>621</v>
      </c>
      <c r="C249" t="s">
        <v>622</v>
      </c>
      <c r="D249" t="s">
        <v>30</v>
      </c>
      <c r="E249">
        <v>3812</v>
      </c>
      <c r="F249" t="s">
        <v>183</v>
      </c>
      <c r="G249" s="1">
        <v>44971</v>
      </c>
      <c r="H249" s="1">
        <v>44971</v>
      </c>
      <c r="I249" t="b">
        <v>0</v>
      </c>
      <c r="J249">
        <v>136</v>
      </c>
      <c r="K249" s="1">
        <v>44979</v>
      </c>
      <c r="L249">
        <v>2.0893999999999999</v>
      </c>
      <c r="M249" s="1">
        <v>45295</v>
      </c>
      <c r="N249">
        <v>20.2</v>
      </c>
      <c r="O249" s="1">
        <v>46204</v>
      </c>
      <c r="P249">
        <v>847</v>
      </c>
      <c r="Q249" t="s">
        <v>21</v>
      </c>
      <c r="R249" t="str">
        <f t="shared" si="6"/>
        <v>has not made new highs</v>
      </c>
      <c r="S249" s="15">
        <f t="shared" si="7"/>
        <v>64.090456590408721</v>
      </c>
    </row>
    <row r="250" spans="1:19" x14ac:dyDescent="0.35">
      <c r="A250" t="s">
        <v>623</v>
      </c>
      <c r="B250" t="s">
        <v>623</v>
      </c>
      <c r="C250" t="s">
        <v>624</v>
      </c>
      <c r="D250" t="s">
        <v>64</v>
      </c>
      <c r="E250">
        <v>3690</v>
      </c>
      <c r="F250" t="s">
        <v>412</v>
      </c>
      <c r="G250" s="1">
        <v>44392</v>
      </c>
      <c r="H250" s="1">
        <v>44392</v>
      </c>
      <c r="I250" t="b">
        <v>0</v>
      </c>
      <c r="J250">
        <v>34.545000000000002</v>
      </c>
      <c r="K250" s="1">
        <v>44522</v>
      </c>
      <c r="L250">
        <v>4.6113</v>
      </c>
      <c r="M250" s="1">
        <v>45755</v>
      </c>
      <c r="N250">
        <v>5.85</v>
      </c>
      <c r="O250" s="1">
        <v>46204</v>
      </c>
      <c r="P250">
        <v>1246</v>
      </c>
      <c r="Q250" t="s">
        <v>21</v>
      </c>
      <c r="R250" t="str">
        <f t="shared" si="6"/>
        <v>has not made new highs</v>
      </c>
      <c r="S250" s="15">
        <f t="shared" si="7"/>
        <v>6.491379871186</v>
      </c>
    </row>
    <row r="251" spans="1:19" x14ac:dyDescent="0.35">
      <c r="A251" t="s">
        <v>625</v>
      </c>
      <c r="B251" t="s">
        <v>625</v>
      </c>
      <c r="C251" t="s">
        <v>626</v>
      </c>
      <c r="D251" t="s">
        <v>127</v>
      </c>
      <c r="G251" s="1">
        <v>44483</v>
      </c>
      <c r="H251" s="1">
        <v>44483</v>
      </c>
      <c r="I251" t="b">
        <v>0</v>
      </c>
      <c r="J251">
        <v>18.48</v>
      </c>
      <c r="K251" s="1">
        <v>44483</v>
      </c>
      <c r="L251">
        <v>2.1800000000000002</v>
      </c>
      <c r="M251" s="1">
        <v>45363</v>
      </c>
      <c r="N251">
        <v>8.1999999999999993</v>
      </c>
      <c r="O251" s="1">
        <v>46204</v>
      </c>
      <c r="P251">
        <v>1182</v>
      </c>
      <c r="Q251" t="s">
        <v>21</v>
      </c>
      <c r="R251" t="str">
        <f t="shared" si="6"/>
        <v>has not made new highs</v>
      </c>
      <c r="S251" s="15">
        <f t="shared" si="7"/>
        <v>7.477064220183486</v>
      </c>
    </row>
    <row r="252" spans="1:19" x14ac:dyDescent="0.35">
      <c r="A252" t="s">
        <v>627</v>
      </c>
      <c r="B252" t="s">
        <v>627</v>
      </c>
      <c r="C252" t="s">
        <v>628</v>
      </c>
      <c r="D252" t="s">
        <v>68</v>
      </c>
      <c r="E252">
        <v>2834</v>
      </c>
      <c r="F252" t="s">
        <v>157</v>
      </c>
      <c r="G252" s="1">
        <v>44235</v>
      </c>
      <c r="H252" s="1">
        <v>44925</v>
      </c>
      <c r="I252" t="b">
        <v>1</v>
      </c>
      <c r="J252">
        <v>99.5</v>
      </c>
      <c r="K252" s="1">
        <v>45999</v>
      </c>
      <c r="L252">
        <v>15</v>
      </c>
      <c r="M252" s="1">
        <v>44925</v>
      </c>
      <c r="N252">
        <v>74.95</v>
      </c>
      <c r="O252" s="1">
        <v>46204</v>
      </c>
      <c r="P252">
        <v>877</v>
      </c>
      <c r="Q252" t="s">
        <v>21</v>
      </c>
      <c r="R252" t="str">
        <f t="shared" si="6"/>
        <v>has made new highs</v>
      </c>
      <c r="S252" s="15">
        <f t="shared" si="7"/>
        <v>5.6333333333333337</v>
      </c>
    </row>
    <row r="253" spans="1:19" x14ac:dyDescent="0.35">
      <c r="A253" t="s">
        <v>629</v>
      </c>
      <c r="B253" t="s">
        <v>629</v>
      </c>
      <c r="C253" t="s">
        <v>630</v>
      </c>
      <c r="D253" t="s">
        <v>68</v>
      </c>
      <c r="E253">
        <v>7372</v>
      </c>
      <c r="F253" t="s">
        <v>20</v>
      </c>
      <c r="G253" s="1">
        <v>44176</v>
      </c>
      <c r="H253" s="1">
        <v>44379</v>
      </c>
      <c r="I253" t="b">
        <v>1</v>
      </c>
      <c r="J253">
        <v>45.48</v>
      </c>
      <c r="K253" s="1">
        <v>44504</v>
      </c>
      <c r="L253">
        <v>4.45</v>
      </c>
      <c r="M253" s="1">
        <v>46157</v>
      </c>
      <c r="N253">
        <v>6.73</v>
      </c>
      <c r="O253" s="1">
        <v>46204</v>
      </c>
      <c r="P253">
        <v>1254</v>
      </c>
      <c r="Q253" t="s">
        <v>21</v>
      </c>
      <c r="R253" t="str">
        <f t="shared" si="6"/>
        <v>has not made new highs</v>
      </c>
      <c r="S253" s="15">
        <f t="shared" si="7"/>
        <v>9.2202247191011217</v>
      </c>
    </row>
    <row r="254" spans="1:19" x14ac:dyDescent="0.35">
      <c r="A254" t="s">
        <v>631</v>
      </c>
      <c r="B254" t="s">
        <v>631</v>
      </c>
      <c r="C254" t="s">
        <v>632</v>
      </c>
      <c r="D254" t="s">
        <v>68</v>
      </c>
      <c r="E254">
        <v>2834</v>
      </c>
      <c r="F254" t="s">
        <v>157</v>
      </c>
      <c r="G254" s="1">
        <v>44062</v>
      </c>
      <c r="H254" s="1">
        <v>44379</v>
      </c>
      <c r="I254" t="b">
        <v>1</v>
      </c>
      <c r="J254">
        <v>62.085000000000001</v>
      </c>
      <c r="K254" s="1">
        <v>44900</v>
      </c>
      <c r="L254">
        <v>18.6112</v>
      </c>
      <c r="M254" s="1">
        <v>45212</v>
      </c>
      <c r="N254">
        <v>36</v>
      </c>
      <c r="O254" s="1">
        <v>46204</v>
      </c>
      <c r="P254">
        <v>1254</v>
      </c>
      <c r="Q254" t="s">
        <v>21</v>
      </c>
      <c r="R254" t="str">
        <f t="shared" si="6"/>
        <v>has not made new highs</v>
      </c>
      <c r="S254" s="15">
        <f t="shared" si="7"/>
        <v>2.3358945151306738</v>
      </c>
    </row>
    <row r="255" spans="1:19" x14ac:dyDescent="0.35">
      <c r="A255" t="s">
        <v>633</v>
      </c>
      <c r="B255" t="s">
        <v>633</v>
      </c>
      <c r="C255" t="s">
        <v>634</v>
      </c>
      <c r="D255" t="s">
        <v>45</v>
      </c>
      <c r="G255" s="1">
        <v>45106</v>
      </c>
      <c r="H255" s="1">
        <v>46154</v>
      </c>
      <c r="I255" t="b">
        <v>1</v>
      </c>
      <c r="J255">
        <v>25.138000000000002</v>
      </c>
      <c r="K255" s="1">
        <v>46204</v>
      </c>
      <c r="L255">
        <v>20</v>
      </c>
      <c r="M255" s="1">
        <v>46154</v>
      </c>
      <c r="N255">
        <v>24.98</v>
      </c>
      <c r="O255" s="1">
        <v>46204</v>
      </c>
      <c r="P255">
        <v>35</v>
      </c>
      <c r="Q255" t="s">
        <v>21</v>
      </c>
      <c r="R255" t="str">
        <f t="shared" si="6"/>
        <v>has made new highs</v>
      </c>
      <c r="S255" s="15">
        <f t="shared" si="7"/>
        <v>0.25690000000000007</v>
      </c>
    </row>
    <row r="256" spans="1:19" x14ac:dyDescent="0.35">
      <c r="A256" t="s">
        <v>635</v>
      </c>
      <c r="B256" t="s">
        <v>635</v>
      </c>
      <c r="C256" t="s">
        <v>636</v>
      </c>
      <c r="D256" t="s">
        <v>27</v>
      </c>
      <c r="E256">
        <v>3663</v>
      </c>
      <c r="F256" t="s">
        <v>637</v>
      </c>
      <c r="G256" s="1">
        <v>44538</v>
      </c>
      <c r="H256" s="1">
        <v>44538</v>
      </c>
      <c r="I256" t="b">
        <v>0</v>
      </c>
      <c r="J256">
        <v>51.76</v>
      </c>
      <c r="K256" s="1">
        <v>46170</v>
      </c>
      <c r="L256">
        <v>1.67</v>
      </c>
      <c r="M256" s="1">
        <v>45412</v>
      </c>
      <c r="N256">
        <v>31.61</v>
      </c>
      <c r="O256" s="1">
        <v>46204</v>
      </c>
      <c r="P256">
        <v>1144</v>
      </c>
      <c r="Q256" t="s">
        <v>21</v>
      </c>
      <c r="R256" t="str">
        <f t="shared" si="6"/>
        <v>has made new highs</v>
      </c>
      <c r="S256" s="15">
        <f t="shared" si="7"/>
        <v>29.994011976047904</v>
      </c>
    </row>
    <row r="257" spans="1:19" x14ac:dyDescent="0.35">
      <c r="A257" t="s">
        <v>638</v>
      </c>
      <c r="B257" t="s">
        <v>638</v>
      </c>
      <c r="C257" t="s">
        <v>639</v>
      </c>
      <c r="D257" t="s">
        <v>30</v>
      </c>
      <c r="E257">
        <v>3714</v>
      </c>
      <c r="F257" t="s">
        <v>493</v>
      </c>
      <c r="G257" s="1">
        <v>45105</v>
      </c>
      <c r="H257" s="1">
        <v>45112</v>
      </c>
      <c r="I257" t="b">
        <v>1</v>
      </c>
      <c r="J257">
        <v>86.935000000000002</v>
      </c>
      <c r="K257" s="1">
        <v>46188</v>
      </c>
      <c r="L257">
        <v>23.46</v>
      </c>
      <c r="M257" s="1">
        <v>45243</v>
      </c>
      <c r="N257">
        <v>78.14</v>
      </c>
      <c r="O257" s="1">
        <v>46204</v>
      </c>
      <c r="P257">
        <v>751</v>
      </c>
      <c r="Q257" t="s">
        <v>21</v>
      </c>
      <c r="R257" t="str">
        <f t="shared" si="6"/>
        <v>has made new highs</v>
      </c>
      <c r="S257" s="15">
        <f t="shared" si="7"/>
        <v>2.7056692242114235</v>
      </c>
    </row>
    <row r="258" spans="1:19" x14ac:dyDescent="0.35">
      <c r="A258" t="s">
        <v>640</v>
      </c>
      <c r="B258" t="s">
        <v>640</v>
      </c>
      <c r="C258" t="s">
        <v>641</v>
      </c>
      <c r="D258" t="s">
        <v>68</v>
      </c>
      <c r="E258">
        <v>2834</v>
      </c>
      <c r="F258" t="s">
        <v>157</v>
      </c>
      <c r="G258" s="1">
        <v>44874</v>
      </c>
      <c r="H258" s="1">
        <v>44874</v>
      </c>
      <c r="I258" t="b">
        <v>0</v>
      </c>
      <c r="J258">
        <v>18.899999999999999</v>
      </c>
      <c r="K258" s="1">
        <v>45835</v>
      </c>
      <c r="L258">
        <v>2.5499999999999998</v>
      </c>
      <c r="M258" s="1">
        <v>45189</v>
      </c>
      <c r="N258">
        <v>7.94</v>
      </c>
      <c r="O258" s="1">
        <v>46204</v>
      </c>
      <c r="P258">
        <v>911</v>
      </c>
      <c r="Q258" t="s">
        <v>21</v>
      </c>
      <c r="R258" t="str">
        <f t="shared" ref="R258:R320" si="8">IF(K258&gt;M258,"has made new highs","has not made new highs")</f>
        <v>has made new highs</v>
      </c>
      <c r="S258" s="15">
        <f t="shared" ref="S258:S320" si="9">(J258-L258)/L258</f>
        <v>6.4117647058823524</v>
      </c>
    </row>
    <row r="259" spans="1:19" x14ac:dyDescent="0.35">
      <c r="A259" t="s">
        <v>642</v>
      </c>
      <c r="B259" t="s">
        <v>643</v>
      </c>
      <c r="C259" t="s">
        <v>644</v>
      </c>
      <c r="D259" t="s">
        <v>68</v>
      </c>
      <c r="E259">
        <v>2834</v>
      </c>
      <c r="F259" t="s">
        <v>157</v>
      </c>
      <c r="G259" s="1">
        <v>44344</v>
      </c>
      <c r="H259" s="1">
        <v>44379</v>
      </c>
      <c r="I259" t="b">
        <v>1</v>
      </c>
      <c r="J259">
        <v>40.56</v>
      </c>
      <c r="K259" s="1">
        <v>46196</v>
      </c>
      <c r="L259">
        <v>2.8849999999999998</v>
      </c>
      <c r="M259" s="1">
        <v>44715</v>
      </c>
      <c r="N259">
        <v>40.5</v>
      </c>
      <c r="O259" s="1">
        <v>46196</v>
      </c>
      <c r="P259">
        <v>1248</v>
      </c>
      <c r="Q259" t="s">
        <v>21</v>
      </c>
      <c r="R259" t="str">
        <f t="shared" si="8"/>
        <v>has made new highs</v>
      </c>
      <c r="S259" s="15">
        <f t="shared" si="9"/>
        <v>13.058925476603122</v>
      </c>
    </row>
    <row r="260" spans="1:19" x14ac:dyDescent="0.35">
      <c r="A260" t="s">
        <v>645</v>
      </c>
      <c r="B260" t="s">
        <v>645</v>
      </c>
      <c r="C260" t="s">
        <v>646</v>
      </c>
      <c r="D260" t="s">
        <v>64</v>
      </c>
      <c r="E260">
        <v>2000</v>
      </c>
      <c r="F260" t="s">
        <v>255</v>
      </c>
      <c r="G260" s="1">
        <v>44043</v>
      </c>
      <c r="H260" s="1">
        <v>44379</v>
      </c>
      <c r="I260" t="b">
        <v>1</v>
      </c>
      <c r="J260">
        <v>53.125</v>
      </c>
      <c r="K260" s="1">
        <v>45896</v>
      </c>
      <c r="L260">
        <v>7.89</v>
      </c>
      <c r="M260" s="1">
        <v>44741</v>
      </c>
      <c r="N260">
        <v>12.31</v>
      </c>
      <c r="O260" s="1">
        <v>46204</v>
      </c>
      <c r="P260">
        <v>1254</v>
      </c>
      <c r="Q260" t="s">
        <v>21</v>
      </c>
      <c r="R260" t="str">
        <f t="shared" si="8"/>
        <v>has made new highs</v>
      </c>
      <c r="S260" s="15">
        <f t="shared" si="9"/>
        <v>5.7332065906210392</v>
      </c>
    </row>
    <row r="261" spans="1:19" x14ac:dyDescent="0.35">
      <c r="A261" t="s">
        <v>647</v>
      </c>
      <c r="B261" t="s">
        <v>647</v>
      </c>
      <c r="C261" t="s">
        <v>648</v>
      </c>
      <c r="D261" t="s">
        <v>45</v>
      </c>
      <c r="E261">
        <v>6199</v>
      </c>
      <c r="F261" t="s">
        <v>46</v>
      </c>
      <c r="G261" s="1">
        <v>44372</v>
      </c>
      <c r="H261" s="1">
        <v>44379</v>
      </c>
      <c r="I261" t="b">
        <v>1</v>
      </c>
      <c r="J261">
        <v>27.03</v>
      </c>
      <c r="K261" s="1">
        <v>45679</v>
      </c>
      <c r="L261">
        <v>5.47</v>
      </c>
      <c r="M261" s="1">
        <v>44753</v>
      </c>
      <c r="N261">
        <v>16.13</v>
      </c>
      <c r="O261" s="1">
        <v>46204</v>
      </c>
      <c r="P261">
        <v>1254</v>
      </c>
      <c r="Q261" t="s">
        <v>21</v>
      </c>
      <c r="R261" t="str">
        <f t="shared" si="8"/>
        <v>has made new highs</v>
      </c>
      <c r="S261" s="15">
        <f t="shared" si="9"/>
        <v>3.9414990859232182</v>
      </c>
    </row>
    <row r="262" spans="1:19" x14ac:dyDescent="0.35">
      <c r="A262" t="s">
        <v>649</v>
      </c>
      <c r="B262" t="s">
        <v>649</v>
      </c>
      <c r="C262" t="s">
        <v>650</v>
      </c>
      <c r="D262" t="s">
        <v>68</v>
      </c>
      <c r="E262">
        <v>8071</v>
      </c>
      <c r="F262" t="s">
        <v>651</v>
      </c>
      <c r="G262" s="1">
        <v>45455</v>
      </c>
      <c r="H262" s="1">
        <v>45468</v>
      </c>
      <c r="I262" t="b">
        <v>1</v>
      </c>
      <c r="J262">
        <v>118.84</v>
      </c>
      <c r="K262" s="1">
        <v>46044</v>
      </c>
      <c r="L262">
        <v>12.33</v>
      </c>
      <c r="M262" s="1">
        <v>45572</v>
      </c>
      <c r="N262">
        <v>68.11</v>
      </c>
      <c r="O262" s="1">
        <v>46204</v>
      </c>
      <c r="P262">
        <v>506</v>
      </c>
      <c r="Q262" t="s">
        <v>21</v>
      </c>
      <c r="R262" t="str">
        <f t="shared" si="8"/>
        <v>has made new highs</v>
      </c>
      <c r="S262" s="15">
        <f t="shared" si="9"/>
        <v>8.6382806163828061</v>
      </c>
    </row>
    <row r="263" spans="1:19" x14ac:dyDescent="0.35">
      <c r="A263" t="s">
        <v>652</v>
      </c>
      <c r="B263" t="s">
        <v>652</v>
      </c>
      <c r="C263" t="s">
        <v>653</v>
      </c>
      <c r="D263" t="s">
        <v>45</v>
      </c>
      <c r="G263" s="1">
        <v>45315</v>
      </c>
      <c r="H263" s="1">
        <v>45315</v>
      </c>
      <c r="I263" t="b">
        <v>0</v>
      </c>
      <c r="J263">
        <v>24.18</v>
      </c>
      <c r="K263" s="1">
        <v>45464</v>
      </c>
      <c r="L263">
        <v>13.66</v>
      </c>
      <c r="M263" s="1">
        <v>46114</v>
      </c>
      <c r="N263">
        <v>15.25</v>
      </c>
      <c r="O263" s="1">
        <v>46204</v>
      </c>
      <c r="P263">
        <v>611</v>
      </c>
      <c r="Q263" t="s">
        <v>21</v>
      </c>
      <c r="R263" t="str">
        <f t="shared" si="8"/>
        <v>has not made new highs</v>
      </c>
      <c r="S263" s="15">
        <f t="shared" si="9"/>
        <v>0.77013177159590041</v>
      </c>
    </row>
    <row r="264" spans="1:19" x14ac:dyDescent="0.35">
      <c r="A264" t="s">
        <v>654</v>
      </c>
      <c r="B264" t="s">
        <v>654</v>
      </c>
      <c r="C264" t="s">
        <v>655</v>
      </c>
      <c r="D264" t="s">
        <v>27</v>
      </c>
      <c r="E264">
        <v>7389</v>
      </c>
      <c r="F264" t="s">
        <v>38</v>
      </c>
      <c r="G264" s="1">
        <v>44377</v>
      </c>
      <c r="H264" s="1">
        <v>44379</v>
      </c>
      <c r="I264" t="b">
        <v>1</v>
      </c>
      <c r="J264">
        <v>99.859899999999996</v>
      </c>
      <c r="K264" s="1">
        <v>46174</v>
      </c>
      <c r="L264">
        <v>11.08</v>
      </c>
      <c r="M264" s="1">
        <v>45474</v>
      </c>
      <c r="N264">
        <v>95.78</v>
      </c>
      <c r="O264" s="1">
        <v>46204</v>
      </c>
      <c r="P264">
        <v>1254</v>
      </c>
      <c r="Q264" t="s">
        <v>21</v>
      </c>
      <c r="R264" t="str">
        <f t="shared" si="8"/>
        <v>has made new highs</v>
      </c>
      <c r="S264" s="15">
        <f t="shared" si="9"/>
        <v>8.0126263537906137</v>
      </c>
    </row>
    <row r="265" spans="1:19" x14ac:dyDescent="0.35">
      <c r="A265" t="s">
        <v>656</v>
      </c>
      <c r="B265" t="s">
        <v>656</v>
      </c>
      <c r="C265" t="s">
        <v>657</v>
      </c>
      <c r="D265" t="s">
        <v>30</v>
      </c>
      <c r="E265">
        <v>7372</v>
      </c>
      <c r="F265" t="s">
        <v>20</v>
      </c>
      <c r="G265" s="1">
        <v>44538</v>
      </c>
      <c r="H265" s="1">
        <v>44538</v>
      </c>
      <c r="I265" t="b">
        <v>0</v>
      </c>
      <c r="J265">
        <v>16.12</v>
      </c>
      <c r="K265" s="1">
        <v>44657</v>
      </c>
      <c r="L265">
        <v>0.57999999999999996</v>
      </c>
      <c r="M265" s="1">
        <v>44925</v>
      </c>
      <c r="N265">
        <v>3.64</v>
      </c>
      <c r="O265" s="1">
        <v>46204</v>
      </c>
      <c r="P265">
        <v>1144</v>
      </c>
      <c r="Q265" t="s">
        <v>21</v>
      </c>
      <c r="R265" t="str">
        <f t="shared" si="8"/>
        <v>has not made new highs</v>
      </c>
      <c r="S265" s="15">
        <f t="shared" si="9"/>
        <v>26.793103448275865</v>
      </c>
    </row>
    <row r="266" spans="1:19" x14ac:dyDescent="0.35">
      <c r="A266" t="s">
        <v>658</v>
      </c>
      <c r="B266" t="s">
        <v>658</v>
      </c>
      <c r="C266" t="s">
        <v>659</v>
      </c>
      <c r="D266" t="s">
        <v>68</v>
      </c>
      <c r="E266">
        <v>2836</v>
      </c>
      <c r="F266" t="s">
        <v>418</v>
      </c>
      <c r="G266" s="1">
        <v>44120</v>
      </c>
      <c r="H266" s="1">
        <v>44379</v>
      </c>
      <c r="I266" t="b">
        <v>1</v>
      </c>
      <c r="J266">
        <v>85.25</v>
      </c>
      <c r="K266" s="1">
        <v>46000</v>
      </c>
      <c r="L266">
        <v>10.8001</v>
      </c>
      <c r="M266" s="1">
        <v>44690</v>
      </c>
      <c r="N266">
        <v>60.89</v>
      </c>
      <c r="O266" s="1">
        <v>46204</v>
      </c>
      <c r="P266">
        <v>1254</v>
      </c>
      <c r="Q266" t="s">
        <v>21</v>
      </c>
      <c r="R266" t="str">
        <f t="shared" si="8"/>
        <v>has made new highs</v>
      </c>
      <c r="S266" s="15">
        <f t="shared" si="9"/>
        <v>6.8934454310608233</v>
      </c>
    </row>
    <row r="267" spans="1:19" x14ac:dyDescent="0.35">
      <c r="A267" t="s">
        <v>660</v>
      </c>
      <c r="B267" t="s">
        <v>660</v>
      </c>
      <c r="C267" t="s">
        <v>661</v>
      </c>
      <c r="D267" t="s">
        <v>64</v>
      </c>
      <c r="E267">
        <v>5900</v>
      </c>
      <c r="F267" t="s">
        <v>662</v>
      </c>
      <c r="G267" s="1">
        <v>45106</v>
      </c>
      <c r="H267" s="1">
        <v>45106</v>
      </c>
      <c r="I267" t="b">
        <v>0</v>
      </c>
      <c r="J267">
        <v>26.88</v>
      </c>
      <c r="K267" s="1">
        <v>45162</v>
      </c>
      <c r="L267">
        <v>6.48</v>
      </c>
      <c r="M267" s="1">
        <v>45727</v>
      </c>
      <c r="N267">
        <v>10.01</v>
      </c>
      <c r="O267" s="1">
        <v>46204</v>
      </c>
      <c r="P267">
        <v>754</v>
      </c>
      <c r="Q267" t="s">
        <v>21</v>
      </c>
      <c r="R267" t="str">
        <f t="shared" si="8"/>
        <v>has not made new highs</v>
      </c>
      <c r="S267" s="15">
        <f t="shared" si="9"/>
        <v>3.1481481481481479</v>
      </c>
    </row>
    <row r="268" spans="1:19" x14ac:dyDescent="0.35">
      <c r="A268" t="s">
        <v>663</v>
      </c>
      <c r="B268" t="s">
        <v>663</v>
      </c>
      <c r="C268" t="s">
        <v>664</v>
      </c>
      <c r="D268" t="s">
        <v>105</v>
      </c>
      <c r="E268">
        <v>3310</v>
      </c>
      <c r="F268" t="s">
        <v>665</v>
      </c>
      <c r="G268" s="1">
        <v>45258</v>
      </c>
      <c r="H268" s="1">
        <v>45261</v>
      </c>
      <c r="I268" t="b">
        <v>1</v>
      </c>
      <c r="J268">
        <v>49.17</v>
      </c>
      <c r="K268" s="1">
        <v>46064</v>
      </c>
      <c r="L268">
        <v>21</v>
      </c>
      <c r="M268" s="1">
        <v>45264</v>
      </c>
      <c r="N268">
        <v>32.14</v>
      </c>
      <c r="O268" s="1">
        <v>46204</v>
      </c>
      <c r="P268">
        <v>646</v>
      </c>
      <c r="Q268" t="s">
        <v>21</v>
      </c>
      <c r="R268" t="str">
        <f t="shared" si="8"/>
        <v>has made new highs</v>
      </c>
      <c r="S268" s="15">
        <f t="shared" si="9"/>
        <v>1.3414285714285714</v>
      </c>
    </row>
    <row r="269" spans="1:19" x14ac:dyDescent="0.35">
      <c r="A269" t="s">
        <v>666</v>
      </c>
      <c r="B269" t="s">
        <v>666</v>
      </c>
      <c r="C269" t="s">
        <v>667</v>
      </c>
      <c r="D269" t="s">
        <v>24</v>
      </c>
      <c r="E269">
        <v>1381</v>
      </c>
      <c r="F269" t="s">
        <v>380</v>
      </c>
      <c r="G269" s="1">
        <v>44714</v>
      </c>
      <c r="H269" s="1">
        <v>44848</v>
      </c>
      <c r="I269" t="b">
        <v>1</v>
      </c>
      <c r="J269">
        <v>56.46</v>
      </c>
      <c r="K269" s="1">
        <v>45499</v>
      </c>
      <c r="L269">
        <v>17.739999999999998</v>
      </c>
      <c r="M269" s="1">
        <v>45756</v>
      </c>
      <c r="N269">
        <v>38.85</v>
      </c>
      <c r="O269" s="1">
        <v>46204</v>
      </c>
      <c r="P269">
        <v>930</v>
      </c>
      <c r="Q269" t="s">
        <v>21</v>
      </c>
      <c r="R269" t="str">
        <f t="shared" si="8"/>
        <v>has not made new highs</v>
      </c>
      <c r="S269" s="15">
        <f t="shared" si="9"/>
        <v>2.1826381059751974</v>
      </c>
    </row>
    <row r="270" spans="1:19" x14ac:dyDescent="0.35">
      <c r="A270" t="s">
        <v>668</v>
      </c>
      <c r="B270" t="s">
        <v>668</v>
      </c>
      <c r="C270" t="s">
        <v>669</v>
      </c>
      <c r="D270" t="s">
        <v>45</v>
      </c>
      <c r="E270">
        <v>6199</v>
      </c>
      <c r="F270" t="s">
        <v>46</v>
      </c>
      <c r="G270" s="1">
        <v>44735</v>
      </c>
      <c r="H270" s="1">
        <v>44735</v>
      </c>
      <c r="I270" t="b">
        <v>0</v>
      </c>
      <c r="J270">
        <v>414</v>
      </c>
      <c r="K270" s="1">
        <v>44775</v>
      </c>
      <c r="L270">
        <v>6.8411999999999997</v>
      </c>
      <c r="M270" s="1">
        <v>44911</v>
      </c>
      <c r="N270">
        <v>18.77</v>
      </c>
      <c r="O270" s="1">
        <v>46204</v>
      </c>
      <c r="P270">
        <v>1009</v>
      </c>
      <c r="Q270" t="s">
        <v>21</v>
      </c>
      <c r="R270" t="str">
        <f t="shared" si="8"/>
        <v>has not made new highs</v>
      </c>
      <c r="S270" s="15">
        <f t="shared" si="9"/>
        <v>59.51569900017541</v>
      </c>
    </row>
    <row r="271" spans="1:19" x14ac:dyDescent="0.35">
      <c r="A271" t="s">
        <v>670</v>
      </c>
      <c r="B271" t="s">
        <v>670</v>
      </c>
      <c r="C271" t="s">
        <v>671</v>
      </c>
      <c r="D271" t="s">
        <v>24</v>
      </c>
      <c r="E271">
        <v>1311</v>
      </c>
      <c r="F271" t="s">
        <v>87</v>
      </c>
      <c r="G271" s="1">
        <v>44994</v>
      </c>
      <c r="H271" s="1">
        <v>44994</v>
      </c>
      <c r="I271" t="b">
        <v>0</v>
      </c>
      <c r="J271">
        <v>26.86</v>
      </c>
      <c r="K271" s="1">
        <v>45685</v>
      </c>
      <c r="L271">
        <v>7.6417000000000002</v>
      </c>
      <c r="M271" s="1">
        <v>45985</v>
      </c>
      <c r="N271">
        <v>15.62</v>
      </c>
      <c r="O271" s="1">
        <v>46204</v>
      </c>
      <c r="P271">
        <v>831</v>
      </c>
      <c r="Q271" t="s">
        <v>21</v>
      </c>
      <c r="R271" t="str">
        <f t="shared" si="8"/>
        <v>has not made new highs</v>
      </c>
      <c r="S271" s="15">
        <f t="shared" si="9"/>
        <v>2.5149246895324335</v>
      </c>
    </row>
    <row r="272" spans="1:19" x14ac:dyDescent="0.35">
      <c r="A272" t="s">
        <v>672</v>
      </c>
      <c r="B272" t="s">
        <v>672</v>
      </c>
      <c r="C272" t="s">
        <v>673</v>
      </c>
      <c r="D272" t="s">
        <v>27</v>
      </c>
      <c r="E272">
        <v>7372</v>
      </c>
      <c r="F272" t="s">
        <v>20</v>
      </c>
      <c r="G272" s="1">
        <v>44467</v>
      </c>
      <c r="H272" s="1">
        <v>44467</v>
      </c>
      <c r="I272" t="b">
        <v>0</v>
      </c>
      <c r="J272">
        <v>87.98</v>
      </c>
      <c r="K272" s="1">
        <v>44504</v>
      </c>
      <c r="L272">
        <v>5.51</v>
      </c>
      <c r="M272" s="1">
        <v>46125</v>
      </c>
      <c r="N272">
        <v>8.5500000000000007</v>
      </c>
      <c r="O272" s="1">
        <v>46204</v>
      </c>
      <c r="P272">
        <v>1194</v>
      </c>
      <c r="Q272" t="s">
        <v>21</v>
      </c>
      <c r="R272" t="str">
        <f t="shared" si="8"/>
        <v>has not made new highs</v>
      </c>
      <c r="S272" s="15">
        <f t="shared" si="9"/>
        <v>14.967332123411978</v>
      </c>
    </row>
    <row r="273" spans="1:19" x14ac:dyDescent="0.35">
      <c r="A273" t="s">
        <v>674</v>
      </c>
      <c r="B273" t="s">
        <v>674</v>
      </c>
      <c r="C273" t="s">
        <v>675</v>
      </c>
      <c r="D273" t="s">
        <v>37</v>
      </c>
      <c r="E273">
        <v>5812</v>
      </c>
      <c r="F273" t="s">
        <v>227</v>
      </c>
      <c r="G273" s="1">
        <v>44518</v>
      </c>
      <c r="H273" s="1">
        <v>44518</v>
      </c>
      <c r="I273" t="b">
        <v>0</v>
      </c>
      <c r="J273">
        <v>56.2</v>
      </c>
      <c r="K273" s="1">
        <v>44518</v>
      </c>
      <c r="L273">
        <v>4.49</v>
      </c>
      <c r="M273" s="1">
        <v>46111</v>
      </c>
      <c r="N273">
        <v>9.1</v>
      </c>
      <c r="O273" s="1">
        <v>46204</v>
      </c>
      <c r="P273">
        <v>1157</v>
      </c>
      <c r="Q273" t="s">
        <v>21</v>
      </c>
      <c r="R273" t="str">
        <f t="shared" si="8"/>
        <v>has not made new highs</v>
      </c>
      <c r="S273" s="15">
        <f t="shared" si="9"/>
        <v>11.516703786191536</v>
      </c>
    </row>
    <row r="274" spans="1:19" x14ac:dyDescent="0.35">
      <c r="A274" t="s">
        <v>676</v>
      </c>
      <c r="B274" t="s">
        <v>676</v>
      </c>
      <c r="C274" t="s">
        <v>677</v>
      </c>
      <c r="D274" t="s">
        <v>68</v>
      </c>
      <c r="E274">
        <v>2836</v>
      </c>
      <c r="F274" t="s">
        <v>418</v>
      </c>
      <c r="G274" s="1">
        <v>44232</v>
      </c>
      <c r="H274" s="1">
        <v>44379</v>
      </c>
      <c r="I274" t="b">
        <v>1</v>
      </c>
      <c r="J274">
        <v>76.98</v>
      </c>
      <c r="K274" s="1">
        <v>45323</v>
      </c>
      <c r="L274">
        <v>18.43</v>
      </c>
      <c r="M274" s="1">
        <v>44582</v>
      </c>
      <c r="N274">
        <v>31.65</v>
      </c>
      <c r="O274" s="1">
        <v>46204</v>
      </c>
      <c r="P274">
        <v>1254</v>
      </c>
      <c r="Q274" t="s">
        <v>21</v>
      </c>
      <c r="R274" t="str">
        <f t="shared" si="8"/>
        <v>has made new highs</v>
      </c>
      <c r="S274" s="15">
        <f t="shared" si="9"/>
        <v>3.1768855127509497</v>
      </c>
    </row>
    <row r="275" spans="1:19" x14ac:dyDescent="0.35">
      <c r="A275" t="s">
        <v>678</v>
      </c>
      <c r="B275" t="s">
        <v>678</v>
      </c>
      <c r="C275" t="s">
        <v>679</v>
      </c>
      <c r="D275" t="s">
        <v>64</v>
      </c>
      <c r="E275">
        <v>7374</v>
      </c>
      <c r="F275" t="s">
        <v>90</v>
      </c>
      <c r="G275" s="1">
        <v>44377</v>
      </c>
      <c r="H275" s="1">
        <v>44379</v>
      </c>
      <c r="I275" t="b">
        <v>1</v>
      </c>
      <c r="J275">
        <v>40.94</v>
      </c>
      <c r="K275" s="1">
        <v>44379</v>
      </c>
      <c r="L275">
        <v>5.22</v>
      </c>
      <c r="M275" s="1">
        <v>46195</v>
      </c>
      <c r="N275">
        <v>6.55</v>
      </c>
      <c r="O275" s="1">
        <v>46204</v>
      </c>
      <c r="P275">
        <v>1254</v>
      </c>
      <c r="Q275" t="s">
        <v>21</v>
      </c>
      <c r="R275" t="str">
        <f t="shared" si="8"/>
        <v>has not made new highs</v>
      </c>
      <c r="S275" s="15">
        <f t="shared" si="9"/>
        <v>6.842911877394636</v>
      </c>
    </row>
    <row r="276" spans="1:19" x14ac:dyDescent="0.35">
      <c r="A276" t="s">
        <v>680</v>
      </c>
      <c r="B276" t="s">
        <v>680</v>
      </c>
      <c r="C276" t="s">
        <v>681</v>
      </c>
      <c r="D276" t="s">
        <v>84</v>
      </c>
      <c r="E276">
        <v>5621</v>
      </c>
      <c r="F276" t="s">
        <v>682</v>
      </c>
      <c r="G276" s="1">
        <v>44398</v>
      </c>
      <c r="H276" s="1">
        <v>46175</v>
      </c>
      <c r="I276" t="b">
        <v>1</v>
      </c>
      <c r="J276">
        <v>88.57</v>
      </c>
      <c r="K276" s="1">
        <v>46199</v>
      </c>
      <c r="L276">
        <v>72</v>
      </c>
      <c r="M276" s="1">
        <v>46176</v>
      </c>
      <c r="N276">
        <v>77.709999999999994</v>
      </c>
      <c r="O276" s="1">
        <v>46204</v>
      </c>
      <c r="P276">
        <v>21</v>
      </c>
      <c r="Q276" t="s">
        <v>21</v>
      </c>
      <c r="R276" t="str">
        <f t="shared" si="8"/>
        <v>has made new highs</v>
      </c>
      <c r="S276" s="15">
        <f t="shared" si="9"/>
        <v>0.23013888888888878</v>
      </c>
    </row>
    <row r="277" spans="1:19" x14ac:dyDescent="0.35">
      <c r="A277" t="s">
        <v>683</v>
      </c>
      <c r="B277" t="s">
        <v>683</v>
      </c>
      <c r="C277" t="s">
        <v>684</v>
      </c>
      <c r="D277" t="s">
        <v>27</v>
      </c>
      <c r="E277">
        <v>7372</v>
      </c>
      <c r="F277" t="s">
        <v>20</v>
      </c>
      <c r="G277" s="1">
        <v>44386</v>
      </c>
      <c r="H277" s="1">
        <v>44397</v>
      </c>
      <c r="I277" t="b">
        <v>1</v>
      </c>
      <c r="J277">
        <v>15.85</v>
      </c>
      <c r="K277" s="1">
        <v>44397</v>
      </c>
      <c r="L277">
        <v>2.92</v>
      </c>
      <c r="M277" s="1">
        <v>46191</v>
      </c>
      <c r="N277">
        <v>3.92</v>
      </c>
      <c r="O277" s="1">
        <v>46204</v>
      </c>
      <c r="P277">
        <v>1243</v>
      </c>
      <c r="Q277" t="s">
        <v>21</v>
      </c>
      <c r="R277" t="str">
        <f t="shared" si="8"/>
        <v>has not made new highs</v>
      </c>
      <c r="S277" s="15">
        <f t="shared" si="9"/>
        <v>4.4280821917808222</v>
      </c>
    </row>
    <row r="278" spans="1:19" x14ac:dyDescent="0.35">
      <c r="A278" t="s">
        <v>685</v>
      </c>
      <c r="B278" t="s">
        <v>685</v>
      </c>
      <c r="C278" t="s">
        <v>686</v>
      </c>
      <c r="D278" t="s">
        <v>19</v>
      </c>
      <c r="E278">
        <v>6199</v>
      </c>
      <c r="F278" t="s">
        <v>46</v>
      </c>
      <c r="G278" s="1">
        <v>44558</v>
      </c>
      <c r="H278" s="1">
        <v>46045</v>
      </c>
      <c r="I278" t="b">
        <v>1</v>
      </c>
      <c r="J278">
        <v>25.93</v>
      </c>
      <c r="K278" s="1">
        <v>46045</v>
      </c>
      <c r="L278">
        <v>11.22</v>
      </c>
      <c r="M278" s="1">
        <v>46183</v>
      </c>
      <c r="N278">
        <v>16.63</v>
      </c>
      <c r="O278" s="1">
        <v>46204</v>
      </c>
      <c r="P278">
        <v>110</v>
      </c>
      <c r="Q278" t="s">
        <v>21</v>
      </c>
      <c r="R278" t="str">
        <f t="shared" si="8"/>
        <v>has not made new highs</v>
      </c>
      <c r="S278" s="15">
        <f t="shared" si="9"/>
        <v>1.3110516934046343</v>
      </c>
    </row>
    <row r="279" spans="1:19" x14ac:dyDescent="0.35">
      <c r="A279" t="s">
        <v>687</v>
      </c>
      <c r="B279" t="s">
        <v>688</v>
      </c>
      <c r="C279" t="s">
        <v>689</v>
      </c>
      <c r="D279" t="s">
        <v>37</v>
      </c>
      <c r="E279">
        <v>7389</v>
      </c>
      <c r="F279" t="s">
        <v>38</v>
      </c>
      <c r="G279" s="1">
        <v>44272</v>
      </c>
      <c r="H279" s="1">
        <v>44379</v>
      </c>
      <c r="I279" t="b">
        <v>1</v>
      </c>
      <c r="J279">
        <v>49</v>
      </c>
      <c r="K279" s="1">
        <v>44435</v>
      </c>
      <c r="L279">
        <v>4.2</v>
      </c>
      <c r="M279" s="1">
        <v>45483</v>
      </c>
      <c r="N279">
        <v>10.26</v>
      </c>
      <c r="O279" s="1">
        <v>45911</v>
      </c>
      <c r="P279">
        <v>1053</v>
      </c>
      <c r="Q279" t="s">
        <v>21</v>
      </c>
      <c r="R279" t="str">
        <f t="shared" si="8"/>
        <v>has not made new highs</v>
      </c>
      <c r="S279" s="15">
        <f t="shared" si="9"/>
        <v>10.666666666666666</v>
      </c>
    </row>
    <row r="280" spans="1:19" x14ac:dyDescent="0.35">
      <c r="A280" t="s">
        <v>690</v>
      </c>
      <c r="B280" t="s">
        <v>690</v>
      </c>
      <c r="C280" t="s">
        <v>691</v>
      </c>
      <c r="D280" t="s">
        <v>30</v>
      </c>
      <c r="E280">
        <v>4911</v>
      </c>
      <c r="F280" t="s">
        <v>42</v>
      </c>
      <c r="G280" s="1">
        <v>45420</v>
      </c>
      <c r="H280" s="1">
        <v>45420</v>
      </c>
      <c r="I280" t="b">
        <v>0</v>
      </c>
      <c r="J280">
        <v>60.87</v>
      </c>
      <c r="K280" s="1">
        <v>45945</v>
      </c>
      <c r="L280">
        <v>3.25</v>
      </c>
      <c r="M280" s="1">
        <v>45426</v>
      </c>
      <c r="N280">
        <v>20.75</v>
      </c>
      <c r="O280" s="1">
        <v>46204</v>
      </c>
      <c r="P280">
        <v>538</v>
      </c>
      <c r="Q280" t="s">
        <v>21</v>
      </c>
      <c r="R280" t="str">
        <f t="shared" si="8"/>
        <v>has made new highs</v>
      </c>
      <c r="S280" s="15">
        <f t="shared" si="9"/>
        <v>17.729230769230767</v>
      </c>
    </row>
    <row r="281" spans="1:19" x14ac:dyDescent="0.35">
      <c r="A281" t="s">
        <v>692</v>
      </c>
      <c r="B281" t="s">
        <v>692</v>
      </c>
      <c r="C281" t="s">
        <v>693</v>
      </c>
      <c r="D281" t="s">
        <v>45</v>
      </c>
      <c r="E281">
        <v>7389</v>
      </c>
      <c r="F281" t="s">
        <v>38</v>
      </c>
      <c r="G281" s="1">
        <v>44342</v>
      </c>
      <c r="H281" s="1">
        <v>44379</v>
      </c>
      <c r="I281" t="b">
        <v>1</v>
      </c>
      <c r="J281">
        <v>57.41</v>
      </c>
      <c r="K281" s="1">
        <v>44483</v>
      </c>
      <c r="L281">
        <v>8.1999999999999993</v>
      </c>
      <c r="M281" s="1">
        <v>45758</v>
      </c>
      <c r="N281">
        <v>18.559999999999999</v>
      </c>
      <c r="O281" s="1">
        <v>46204</v>
      </c>
      <c r="P281">
        <v>1254</v>
      </c>
      <c r="Q281" t="s">
        <v>21</v>
      </c>
      <c r="R281" t="str">
        <f t="shared" si="8"/>
        <v>has not made new highs</v>
      </c>
      <c r="S281" s="15">
        <f t="shared" si="9"/>
        <v>6.0012195121951217</v>
      </c>
    </row>
    <row r="282" spans="1:19" x14ac:dyDescent="0.35">
      <c r="A282" t="s">
        <v>694</v>
      </c>
      <c r="B282" t="s">
        <v>694</v>
      </c>
      <c r="C282" t="s">
        <v>695</v>
      </c>
      <c r="D282" t="s">
        <v>68</v>
      </c>
      <c r="E282">
        <v>2834</v>
      </c>
      <c r="F282" t="s">
        <v>157</v>
      </c>
      <c r="G282" s="1">
        <v>44827</v>
      </c>
      <c r="H282" s="1">
        <v>44827</v>
      </c>
      <c r="I282" t="b">
        <v>0</v>
      </c>
      <c r="J282">
        <v>152.56</v>
      </c>
      <c r="K282" s="1">
        <v>44831</v>
      </c>
      <c r="L282">
        <v>7.1</v>
      </c>
      <c r="M282" s="1">
        <v>44838</v>
      </c>
      <c r="N282">
        <v>15.76</v>
      </c>
      <c r="O282" s="1">
        <v>46204</v>
      </c>
      <c r="P282">
        <v>945</v>
      </c>
      <c r="Q282" t="s">
        <v>21</v>
      </c>
      <c r="R282" t="str">
        <f t="shared" si="8"/>
        <v>has not made new highs</v>
      </c>
      <c r="S282" s="15">
        <f t="shared" si="9"/>
        <v>20.487323943661973</v>
      </c>
    </row>
    <row r="283" spans="1:19" x14ac:dyDescent="0.35">
      <c r="A283" t="s">
        <v>696</v>
      </c>
      <c r="B283" t="s">
        <v>696</v>
      </c>
      <c r="C283" t="s">
        <v>697</v>
      </c>
      <c r="D283" t="s">
        <v>68</v>
      </c>
      <c r="E283">
        <v>2834</v>
      </c>
      <c r="F283" t="s">
        <v>157</v>
      </c>
      <c r="G283" s="1">
        <v>44330</v>
      </c>
      <c r="H283" s="1">
        <v>44379</v>
      </c>
      <c r="I283" t="b">
        <v>1</v>
      </c>
      <c r="J283">
        <v>56.05</v>
      </c>
      <c r="K283" s="1">
        <v>46015</v>
      </c>
      <c r="L283">
        <v>5.2</v>
      </c>
      <c r="M283" s="1">
        <v>44932</v>
      </c>
      <c r="N283">
        <v>42.66</v>
      </c>
      <c r="O283" s="1">
        <v>46204</v>
      </c>
      <c r="P283">
        <v>1254</v>
      </c>
      <c r="Q283" t="s">
        <v>21</v>
      </c>
      <c r="R283" t="str">
        <f t="shared" si="8"/>
        <v>has made new highs</v>
      </c>
      <c r="S283" s="15">
        <f t="shared" si="9"/>
        <v>9.7788461538461533</v>
      </c>
    </row>
    <row r="284" spans="1:19" x14ac:dyDescent="0.35">
      <c r="A284" t="s">
        <v>698</v>
      </c>
      <c r="B284" t="s">
        <v>698</v>
      </c>
      <c r="C284" t="s">
        <v>699</v>
      </c>
      <c r="D284" t="s">
        <v>105</v>
      </c>
      <c r="E284">
        <v>3420</v>
      </c>
      <c r="F284" t="s">
        <v>700</v>
      </c>
      <c r="G284" s="1">
        <v>44392</v>
      </c>
      <c r="H284" s="1">
        <v>44392</v>
      </c>
      <c r="I284" t="b">
        <v>0</v>
      </c>
      <c r="J284">
        <v>13.46</v>
      </c>
      <c r="K284" s="1">
        <v>44421</v>
      </c>
      <c r="L284">
        <v>6.02</v>
      </c>
      <c r="M284" s="1">
        <v>45238</v>
      </c>
      <c r="N284">
        <v>8.14</v>
      </c>
      <c r="O284" s="1">
        <v>46204</v>
      </c>
      <c r="P284">
        <v>1246</v>
      </c>
      <c r="Q284" t="s">
        <v>21</v>
      </c>
      <c r="R284" t="str">
        <f t="shared" si="8"/>
        <v>has not made new highs</v>
      </c>
      <c r="S284" s="15">
        <f t="shared" si="9"/>
        <v>1.2358803986710967</v>
      </c>
    </row>
    <row r="285" spans="1:19" x14ac:dyDescent="0.35">
      <c r="A285" t="s">
        <v>701</v>
      </c>
      <c r="B285" t="s">
        <v>701</v>
      </c>
      <c r="C285" t="s">
        <v>702</v>
      </c>
      <c r="D285" t="s">
        <v>68</v>
      </c>
      <c r="E285">
        <v>2834</v>
      </c>
      <c r="F285" t="s">
        <v>157</v>
      </c>
      <c r="G285" s="1">
        <v>44281</v>
      </c>
      <c r="H285" s="1">
        <v>44379</v>
      </c>
      <c r="I285" t="b">
        <v>1</v>
      </c>
      <c r="J285">
        <v>43.93</v>
      </c>
      <c r="K285" s="1">
        <v>46198</v>
      </c>
      <c r="L285">
        <v>5.12</v>
      </c>
      <c r="M285" s="1">
        <v>45240</v>
      </c>
      <c r="N285">
        <v>39.15</v>
      </c>
      <c r="O285" s="1">
        <v>46204</v>
      </c>
      <c r="P285">
        <v>1254</v>
      </c>
      <c r="Q285" t="s">
        <v>21</v>
      </c>
      <c r="R285" t="str">
        <f t="shared" si="8"/>
        <v>has made new highs</v>
      </c>
      <c r="S285" s="15">
        <f t="shared" si="9"/>
        <v>7.580078125</v>
      </c>
    </row>
    <row r="286" spans="1:19" x14ac:dyDescent="0.35">
      <c r="A286" t="s">
        <v>703</v>
      </c>
      <c r="B286" t="s">
        <v>703</v>
      </c>
      <c r="C286" t="s">
        <v>704</v>
      </c>
      <c r="D286" t="s">
        <v>45</v>
      </c>
      <c r="E286">
        <v>6798</v>
      </c>
      <c r="F286" t="s">
        <v>214</v>
      </c>
      <c r="G286" s="1">
        <v>44056</v>
      </c>
      <c r="H286" s="1">
        <v>44379</v>
      </c>
      <c r="I286" t="b">
        <v>1</v>
      </c>
      <c r="J286">
        <v>26.925000000000001</v>
      </c>
      <c r="K286" s="1">
        <v>44413</v>
      </c>
      <c r="L286">
        <v>13.42</v>
      </c>
      <c r="M286" s="1">
        <v>45667</v>
      </c>
      <c r="N286">
        <v>21.08</v>
      </c>
      <c r="O286" s="1">
        <v>46204</v>
      </c>
      <c r="P286">
        <v>1254</v>
      </c>
      <c r="Q286" t="s">
        <v>21</v>
      </c>
      <c r="R286" t="str">
        <f t="shared" si="8"/>
        <v>has not made new highs</v>
      </c>
      <c r="S286" s="15">
        <f t="shared" si="9"/>
        <v>1.0063338301043219</v>
      </c>
    </row>
    <row r="287" spans="1:19" x14ac:dyDescent="0.35">
      <c r="A287" t="s">
        <v>705</v>
      </c>
      <c r="B287" t="s">
        <v>705</v>
      </c>
      <c r="C287" t="s">
        <v>706</v>
      </c>
      <c r="D287" t="s">
        <v>45</v>
      </c>
      <c r="E287">
        <v>6798</v>
      </c>
      <c r="F287" t="s">
        <v>214</v>
      </c>
      <c r="G287" s="1">
        <v>44047</v>
      </c>
      <c r="H287" s="1">
        <v>45456</v>
      </c>
      <c r="I287" t="b">
        <v>1</v>
      </c>
      <c r="J287">
        <v>30.629899999999999</v>
      </c>
      <c r="K287" s="1">
        <v>46148</v>
      </c>
      <c r="L287">
        <v>20.2</v>
      </c>
      <c r="M287" s="1">
        <v>45456</v>
      </c>
      <c r="N287">
        <v>30.36</v>
      </c>
      <c r="O287" s="1">
        <v>46203</v>
      </c>
      <c r="P287">
        <v>512</v>
      </c>
      <c r="Q287" t="s">
        <v>21</v>
      </c>
      <c r="R287" t="str">
        <f t="shared" si="8"/>
        <v>has made new highs</v>
      </c>
      <c r="S287" s="15">
        <f t="shared" si="9"/>
        <v>0.5163316831683169</v>
      </c>
    </row>
    <row r="288" spans="1:19" x14ac:dyDescent="0.35">
      <c r="A288" t="s">
        <v>707</v>
      </c>
      <c r="B288" t="s">
        <v>708</v>
      </c>
      <c r="C288" t="s">
        <v>709</v>
      </c>
      <c r="D288" t="s">
        <v>64</v>
      </c>
      <c r="E288">
        <v>2040</v>
      </c>
      <c r="F288" t="s">
        <v>710</v>
      </c>
      <c r="G288" s="1">
        <v>45196</v>
      </c>
      <c r="H288" s="1">
        <v>45201</v>
      </c>
      <c r="I288" t="b">
        <v>1</v>
      </c>
      <c r="J288">
        <v>24.629000000000001</v>
      </c>
      <c r="K288" s="1">
        <v>45406</v>
      </c>
      <c r="L288">
        <v>9.6549999999999994</v>
      </c>
      <c r="M288" s="1">
        <v>45211</v>
      </c>
      <c r="N288">
        <v>23</v>
      </c>
      <c r="O288" s="1">
        <v>45925</v>
      </c>
      <c r="P288">
        <v>498</v>
      </c>
      <c r="Q288" t="s">
        <v>21</v>
      </c>
      <c r="R288" t="str">
        <f t="shared" si="8"/>
        <v>has made new highs</v>
      </c>
      <c r="S288" s="15">
        <f t="shared" si="9"/>
        <v>1.5509062661833251</v>
      </c>
    </row>
    <row r="289" spans="1:19" x14ac:dyDescent="0.35">
      <c r="A289" t="s">
        <v>711</v>
      </c>
      <c r="B289" t="s">
        <v>711</v>
      </c>
      <c r="C289" t="s">
        <v>712</v>
      </c>
      <c r="D289" t="s">
        <v>64</v>
      </c>
      <c r="E289">
        <v>7372</v>
      </c>
      <c r="F289" t="s">
        <v>20</v>
      </c>
      <c r="G289" s="1">
        <v>44286</v>
      </c>
      <c r="H289" s="1">
        <v>44379</v>
      </c>
      <c r="I289" t="b">
        <v>1</v>
      </c>
      <c r="J289">
        <v>43.78</v>
      </c>
      <c r="K289" s="1">
        <v>44412</v>
      </c>
      <c r="L289">
        <v>5</v>
      </c>
      <c r="M289" s="1">
        <v>46136</v>
      </c>
      <c r="N289">
        <v>5.98</v>
      </c>
      <c r="O289" s="1">
        <v>46204</v>
      </c>
      <c r="P289">
        <v>1254</v>
      </c>
      <c r="Q289" t="s">
        <v>21</v>
      </c>
      <c r="R289" t="str">
        <f t="shared" si="8"/>
        <v>has not made new highs</v>
      </c>
      <c r="S289" s="15">
        <f t="shared" si="9"/>
        <v>7.7560000000000002</v>
      </c>
    </row>
    <row r="290" spans="1:19" x14ac:dyDescent="0.35">
      <c r="A290" t="s">
        <v>713</v>
      </c>
      <c r="B290" t="s">
        <v>713</v>
      </c>
      <c r="C290" t="s">
        <v>714</v>
      </c>
      <c r="D290" t="s">
        <v>84</v>
      </c>
      <c r="E290">
        <v>2511</v>
      </c>
      <c r="F290" t="s">
        <v>715</v>
      </c>
      <c r="G290" s="1">
        <v>44904</v>
      </c>
      <c r="H290" s="1">
        <v>44910</v>
      </c>
      <c r="I290" t="b">
        <v>1</v>
      </c>
      <c r="J290">
        <v>20.67</v>
      </c>
      <c r="K290" s="1">
        <v>45602</v>
      </c>
      <c r="L290">
        <v>6.6050000000000004</v>
      </c>
      <c r="M290" s="1">
        <v>46161</v>
      </c>
      <c r="N290">
        <v>9.98</v>
      </c>
      <c r="O290" s="1">
        <v>46204</v>
      </c>
      <c r="P290">
        <v>887</v>
      </c>
      <c r="Q290" t="s">
        <v>21</v>
      </c>
      <c r="R290" t="str">
        <f t="shared" si="8"/>
        <v>has not made new highs</v>
      </c>
      <c r="S290" s="15">
        <f t="shared" si="9"/>
        <v>2.129447388342165</v>
      </c>
    </row>
    <row r="291" spans="1:19" x14ac:dyDescent="0.35">
      <c r="A291" t="s">
        <v>719</v>
      </c>
      <c r="B291" t="s">
        <v>719</v>
      </c>
      <c r="C291" t="s">
        <v>720</v>
      </c>
      <c r="D291" t="s">
        <v>68</v>
      </c>
      <c r="E291">
        <v>5912</v>
      </c>
      <c r="F291" t="s">
        <v>721</v>
      </c>
      <c r="G291" s="1">
        <v>45561</v>
      </c>
      <c r="H291" s="1">
        <v>45561</v>
      </c>
      <c r="I291" t="b">
        <v>0</v>
      </c>
      <c r="J291">
        <v>44</v>
      </c>
      <c r="K291" s="1">
        <v>46191</v>
      </c>
      <c r="L291">
        <v>14.16</v>
      </c>
      <c r="M291" s="1">
        <v>45561</v>
      </c>
      <c r="N291">
        <v>42.13</v>
      </c>
      <c r="O291" s="1">
        <v>46204</v>
      </c>
      <c r="P291">
        <v>441</v>
      </c>
      <c r="Q291" t="s">
        <v>21</v>
      </c>
      <c r="R291" t="str">
        <f t="shared" si="8"/>
        <v>has made new highs</v>
      </c>
      <c r="S291" s="15">
        <f t="shared" si="9"/>
        <v>2.1073446327683616</v>
      </c>
    </row>
    <row r="292" spans="1:19" x14ac:dyDescent="0.35">
      <c r="A292" t="s">
        <v>722</v>
      </c>
      <c r="B292" t="s">
        <v>722</v>
      </c>
      <c r="C292" t="s">
        <v>723</v>
      </c>
      <c r="D292" t="s">
        <v>68</v>
      </c>
      <c r="E292">
        <v>2834</v>
      </c>
      <c r="F292" t="s">
        <v>157</v>
      </c>
      <c r="G292" s="1">
        <v>44358</v>
      </c>
      <c r="H292" s="1">
        <v>44379</v>
      </c>
      <c r="I292" t="b">
        <v>1</v>
      </c>
      <c r="J292">
        <v>71.709999999999994</v>
      </c>
      <c r="K292" s="1">
        <v>45631</v>
      </c>
      <c r="L292">
        <v>5.65</v>
      </c>
      <c r="M292" s="1">
        <v>45240</v>
      </c>
      <c r="N292">
        <v>14.66</v>
      </c>
      <c r="O292" s="1">
        <v>46204</v>
      </c>
      <c r="P292">
        <v>1254</v>
      </c>
      <c r="Q292" t="s">
        <v>21</v>
      </c>
      <c r="R292" t="str">
        <f t="shared" si="8"/>
        <v>has made new highs</v>
      </c>
      <c r="S292" s="15">
        <f t="shared" si="9"/>
        <v>11.692035398230086</v>
      </c>
    </row>
    <row r="293" spans="1:19" x14ac:dyDescent="0.35">
      <c r="A293" t="s">
        <v>724</v>
      </c>
      <c r="B293" t="s">
        <v>724</v>
      </c>
      <c r="C293" t="s">
        <v>725</v>
      </c>
      <c r="D293" t="s">
        <v>64</v>
      </c>
      <c r="E293">
        <v>100</v>
      </c>
      <c r="G293" s="1">
        <v>44407</v>
      </c>
      <c r="H293" s="1">
        <v>44407</v>
      </c>
      <c r="I293" t="b">
        <v>0</v>
      </c>
      <c r="J293">
        <v>17.66</v>
      </c>
      <c r="K293" s="1">
        <v>44469</v>
      </c>
      <c r="L293">
        <v>7.2</v>
      </c>
      <c r="M293" s="1">
        <v>44837</v>
      </c>
      <c r="N293">
        <v>13.73</v>
      </c>
      <c r="O293" s="1">
        <v>46204</v>
      </c>
      <c r="P293">
        <v>1235</v>
      </c>
      <c r="Q293" t="s">
        <v>21</v>
      </c>
      <c r="R293" t="str">
        <f t="shared" si="8"/>
        <v>has not made new highs</v>
      </c>
      <c r="S293" s="15">
        <f t="shared" si="9"/>
        <v>1.4527777777777779</v>
      </c>
    </row>
    <row r="294" spans="1:19" x14ac:dyDescent="0.35">
      <c r="A294" t="s">
        <v>726</v>
      </c>
      <c r="B294" t="s">
        <v>727</v>
      </c>
      <c r="C294" t="s">
        <v>728</v>
      </c>
      <c r="D294" t="s">
        <v>27</v>
      </c>
      <c r="E294">
        <v>7372</v>
      </c>
      <c r="F294" t="s">
        <v>20</v>
      </c>
      <c r="G294" s="1">
        <v>44280</v>
      </c>
      <c r="H294" s="1">
        <v>44379</v>
      </c>
      <c r="I294" t="b">
        <v>1</v>
      </c>
      <c r="J294">
        <v>32.478999999999999</v>
      </c>
      <c r="K294" s="1">
        <v>44449</v>
      </c>
      <c r="L294">
        <v>6.5579999999999998</v>
      </c>
      <c r="M294" s="1">
        <v>45967</v>
      </c>
      <c r="N294">
        <v>12</v>
      </c>
      <c r="O294" s="1">
        <v>46139</v>
      </c>
      <c r="P294">
        <v>1209</v>
      </c>
      <c r="Q294" t="s">
        <v>21</v>
      </c>
      <c r="R294" t="str">
        <f t="shared" si="8"/>
        <v>has not made new highs</v>
      </c>
      <c r="S294" s="15">
        <f t="shared" si="9"/>
        <v>3.9525770051845073</v>
      </c>
    </row>
    <row r="295" spans="1:19" x14ac:dyDescent="0.35">
      <c r="A295" t="s">
        <v>729</v>
      </c>
      <c r="B295" t="s">
        <v>729</v>
      </c>
      <c r="C295" t="s">
        <v>730</v>
      </c>
      <c r="D295" t="s">
        <v>30</v>
      </c>
      <c r="E295">
        <v>3842</v>
      </c>
      <c r="F295" t="s">
        <v>731</v>
      </c>
      <c r="G295" s="1">
        <v>44504</v>
      </c>
      <c r="H295" s="1">
        <v>44504</v>
      </c>
      <c r="I295" t="b">
        <v>0</v>
      </c>
      <c r="J295">
        <v>48.759900000000002</v>
      </c>
      <c r="K295" s="1">
        <v>46086</v>
      </c>
      <c r="L295">
        <v>14.16</v>
      </c>
      <c r="M295" s="1">
        <v>44504</v>
      </c>
      <c r="N295">
        <v>28.61</v>
      </c>
      <c r="O295" s="1">
        <v>46204</v>
      </c>
      <c r="P295">
        <v>1167</v>
      </c>
      <c r="Q295" t="s">
        <v>21</v>
      </c>
      <c r="R295" t="str">
        <f t="shared" si="8"/>
        <v>has made new highs</v>
      </c>
      <c r="S295" s="15">
        <f t="shared" si="9"/>
        <v>2.4434957627118647</v>
      </c>
    </row>
    <row r="296" spans="1:19" x14ac:dyDescent="0.35">
      <c r="A296" t="s">
        <v>732</v>
      </c>
      <c r="B296" t="s">
        <v>732</v>
      </c>
      <c r="C296" t="s">
        <v>733</v>
      </c>
      <c r="D296" t="s">
        <v>24</v>
      </c>
      <c r="E296">
        <v>1389</v>
      </c>
      <c r="F296" t="s">
        <v>734</v>
      </c>
      <c r="G296" s="1">
        <v>44694</v>
      </c>
      <c r="H296" s="1">
        <v>44867</v>
      </c>
      <c r="I296" t="b">
        <v>1</v>
      </c>
      <c r="J296">
        <v>27</v>
      </c>
      <c r="K296" s="1">
        <v>44876</v>
      </c>
      <c r="L296">
        <v>3.08</v>
      </c>
      <c r="M296" s="1">
        <v>45986</v>
      </c>
      <c r="N296">
        <v>5.49</v>
      </c>
      <c r="O296" s="1">
        <v>46204</v>
      </c>
      <c r="P296">
        <v>917</v>
      </c>
      <c r="Q296" t="s">
        <v>21</v>
      </c>
      <c r="R296" t="str">
        <f t="shared" si="8"/>
        <v>has not made new highs</v>
      </c>
      <c r="S296" s="15">
        <f t="shared" si="9"/>
        <v>7.7662337662337668</v>
      </c>
    </row>
    <row r="297" spans="1:19" x14ac:dyDescent="0.35">
      <c r="A297" t="s">
        <v>735</v>
      </c>
      <c r="B297" t="s">
        <v>735</v>
      </c>
      <c r="C297" t="s">
        <v>736</v>
      </c>
      <c r="D297" t="s">
        <v>30</v>
      </c>
      <c r="E297">
        <v>3569</v>
      </c>
      <c r="F297" t="s">
        <v>108</v>
      </c>
      <c r="G297" s="1">
        <v>44267</v>
      </c>
      <c r="H297" s="1">
        <v>44379</v>
      </c>
      <c r="I297" t="b">
        <v>1</v>
      </c>
      <c r="J297">
        <v>125.8</v>
      </c>
      <c r="K297" s="1">
        <v>44389</v>
      </c>
      <c r="L297">
        <v>3.21</v>
      </c>
      <c r="M297" s="1">
        <v>45042</v>
      </c>
      <c r="N297">
        <v>60.02</v>
      </c>
      <c r="O297" s="1">
        <v>46204</v>
      </c>
      <c r="P297">
        <v>1254</v>
      </c>
      <c r="Q297" t="s">
        <v>21</v>
      </c>
      <c r="R297" t="str">
        <f t="shared" si="8"/>
        <v>has not made new highs</v>
      </c>
      <c r="S297" s="15">
        <f t="shared" si="9"/>
        <v>38.190031152647975</v>
      </c>
    </row>
    <row r="298" spans="1:19" x14ac:dyDescent="0.35">
      <c r="A298" t="s">
        <v>737</v>
      </c>
      <c r="B298" t="s">
        <v>738</v>
      </c>
      <c r="C298" t="s">
        <v>739</v>
      </c>
      <c r="D298" t="s">
        <v>27</v>
      </c>
      <c r="E298">
        <v>7372</v>
      </c>
      <c r="F298" t="s">
        <v>20</v>
      </c>
      <c r="G298" s="1">
        <v>44399</v>
      </c>
      <c r="H298" s="1">
        <v>44399</v>
      </c>
      <c r="I298" t="b">
        <v>0</v>
      </c>
      <c r="J298">
        <v>52.26</v>
      </c>
      <c r="K298" s="1">
        <v>44439</v>
      </c>
      <c r="L298">
        <v>10.19</v>
      </c>
      <c r="M298" s="1">
        <v>44872</v>
      </c>
      <c r="N298">
        <v>24.51</v>
      </c>
      <c r="O298" s="1">
        <v>45923</v>
      </c>
      <c r="P298">
        <v>1048</v>
      </c>
      <c r="Q298" t="s">
        <v>21</v>
      </c>
      <c r="R298" t="str">
        <f t="shared" si="8"/>
        <v>has not made new highs</v>
      </c>
      <c r="S298" s="15">
        <f t="shared" si="9"/>
        <v>4.1285574092247304</v>
      </c>
    </row>
    <row r="299" spans="1:19" x14ac:dyDescent="0.35">
      <c r="A299" t="s">
        <v>740</v>
      </c>
      <c r="B299" t="s">
        <v>741</v>
      </c>
      <c r="C299" t="s">
        <v>742</v>
      </c>
      <c r="D299" t="s">
        <v>37</v>
      </c>
      <c r="E299">
        <v>7370</v>
      </c>
      <c r="F299" t="s">
        <v>34</v>
      </c>
      <c r="G299" s="1">
        <v>44377</v>
      </c>
      <c r="H299" s="1">
        <v>44379</v>
      </c>
      <c r="I299" t="b">
        <v>1</v>
      </c>
      <c r="J299">
        <v>29.68</v>
      </c>
      <c r="K299" s="1">
        <v>44511</v>
      </c>
      <c r="L299">
        <v>6.2610999999999999</v>
      </c>
      <c r="M299" s="1">
        <v>45768</v>
      </c>
      <c r="N299">
        <v>10.34</v>
      </c>
      <c r="O299" s="1">
        <v>46013</v>
      </c>
      <c r="P299">
        <v>1124</v>
      </c>
      <c r="Q299" t="s">
        <v>21</v>
      </c>
      <c r="R299" t="str">
        <f t="shared" si="8"/>
        <v>has not made new highs</v>
      </c>
      <c r="S299" s="15">
        <f t="shared" si="9"/>
        <v>3.7403810831962438</v>
      </c>
    </row>
    <row r="300" spans="1:19" x14ac:dyDescent="0.35">
      <c r="A300" t="s">
        <v>743</v>
      </c>
      <c r="B300" t="s">
        <v>743</v>
      </c>
      <c r="C300" t="s">
        <v>744</v>
      </c>
      <c r="D300" t="s">
        <v>27</v>
      </c>
      <c r="E300">
        <v>3674</v>
      </c>
      <c r="F300" t="s">
        <v>149</v>
      </c>
      <c r="G300" s="1">
        <v>44221</v>
      </c>
      <c r="H300" s="1">
        <v>44489</v>
      </c>
      <c r="I300" t="b">
        <v>1</v>
      </c>
      <c r="J300">
        <v>34.17</v>
      </c>
      <c r="K300" s="1">
        <v>46176</v>
      </c>
      <c r="L300">
        <v>1.52</v>
      </c>
      <c r="M300" s="1">
        <v>45751</v>
      </c>
      <c r="N300">
        <v>16.53</v>
      </c>
      <c r="O300" s="1">
        <v>46204</v>
      </c>
      <c r="P300">
        <v>1178</v>
      </c>
      <c r="Q300" t="s">
        <v>21</v>
      </c>
      <c r="R300" t="str">
        <f t="shared" si="8"/>
        <v>has made new highs</v>
      </c>
      <c r="S300" s="15">
        <f t="shared" si="9"/>
        <v>21.480263157894736</v>
      </c>
    </row>
    <row r="301" spans="1:19" x14ac:dyDescent="0.35">
      <c r="A301" t="s">
        <v>745</v>
      </c>
      <c r="B301" t="s">
        <v>745</v>
      </c>
      <c r="C301" t="s">
        <v>746</v>
      </c>
      <c r="D301" t="s">
        <v>19</v>
      </c>
      <c r="E301">
        <v>7389</v>
      </c>
      <c r="F301" t="s">
        <v>38</v>
      </c>
      <c r="G301" s="1">
        <v>45211</v>
      </c>
      <c r="H301" s="1">
        <v>45706</v>
      </c>
      <c r="I301" t="b">
        <v>1</v>
      </c>
      <c r="J301">
        <v>14.9442</v>
      </c>
      <c r="K301" s="1">
        <v>45929</v>
      </c>
      <c r="L301">
        <v>6.36</v>
      </c>
      <c r="M301" s="1">
        <v>46112</v>
      </c>
      <c r="N301">
        <v>8</v>
      </c>
      <c r="O301" s="1">
        <v>46204</v>
      </c>
      <c r="P301">
        <v>344</v>
      </c>
      <c r="Q301" t="s">
        <v>21</v>
      </c>
      <c r="R301" t="str">
        <f t="shared" si="8"/>
        <v>has not made new highs</v>
      </c>
      <c r="S301" s="15">
        <f t="shared" si="9"/>
        <v>1.3497169811320753</v>
      </c>
    </row>
    <row r="302" spans="1:19" x14ac:dyDescent="0.35">
      <c r="A302" t="s">
        <v>747</v>
      </c>
      <c r="B302" t="s">
        <v>747</v>
      </c>
      <c r="C302" t="s">
        <v>748</v>
      </c>
      <c r="D302" t="s">
        <v>27</v>
      </c>
      <c r="E302">
        <v>1000</v>
      </c>
      <c r="F302" t="s">
        <v>329</v>
      </c>
      <c r="G302" s="1">
        <v>44740</v>
      </c>
      <c r="H302" s="1">
        <v>44740</v>
      </c>
      <c r="I302" t="b">
        <v>0</v>
      </c>
      <c r="J302">
        <v>21.55</v>
      </c>
      <c r="K302" s="1">
        <v>46051</v>
      </c>
      <c r="L302">
        <v>4.5</v>
      </c>
      <c r="M302" s="1">
        <v>45751</v>
      </c>
      <c r="N302">
        <v>9.42</v>
      </c>
      <c r="O302" s="1">
        <v>46204</v>
      </c>
      <c r="P302">
        <v>1006</v>
      </c>
      <c r="Q302" t="s">
        <v>21</v>
      </c>
      <c r="R302" t="str">
        <f t="shared" si="8"/>
        <v>has made new highs</v>
      </c>
      <c r="S302" s="15">
        <f t="shared" si="9"/>
        <v>3.7888888888888892</v>
      </c>
    </row>
    <row r="303" spans="1:19" x14ac:dyDescent="0.35">
      <c r="A303" t="s">
        <v>749</v>
      </c>
      <c r="B303" t="s">
        <v>749</v>
      </c>
      <c r="C303" t="s">
        <v>750</v>
      </c>
      <c r="D303" t="s">
        <v>45</v>
      </c>
      <c r="E303">
        <v>6199</v>
      </c>
      <c r="F303" t="s">
        <v>46</v>
      </c>
      <c r="G303" s="1">
        <v>44398</v>
      </c>
      <c r="H303" s="1">
        <v>44398</v>
      </c>
      <c r="I303" t="b">
        <v>0</v>
      </c>
      <c r="J303">
        <v>17.728100000000001</v>
      </c>
      <c r="K303" s="1">
        <v>45695</v>
      </c>
      <c r="L303">
        <v>1.7</v>
      </c>
      <c r="M303" s="1">
        <v>45002</v>
      </c>
      <c r="N303">
        <v>10.01</v>
      </c>
      <c r="O303" s="1">
        <v>46204</v>
      </c>
      <c r="P303">
        <v>1242</v>
      </c>
      <c r="Q303" t="s">
        <v>21</v>
      </c>
      <c r="R303" t="str">
        <f t="shared" si="8"/>
        <v>has made new highs</v>
      </c>
      <c r="S303" s="15">
        <f t="shared" si="9"/>
        <v>9.4282941176470594</v>
      </c>
    </row>
    <row r="304" spans="1:19" x14ac:dyDescent="0.35">
      <c r="A304" t="s">
        <v>751</v>
      </c>
      <c r="B304" t="s">
        <v>752</v>
      </c>
      <c r="C304" t="s">
        <v>753</v>
      </c>
      <c r="D304" t="s">
        <v>45</v>
      </c>
      <c r="E304">
        <v>7372</v>
      </c>
      <c r="F304" t="s">
        <v>20</v>
      </c>
      <c r="G304" s="1">
        <v>44405</v>
      </c>
      <c r="H304" s="1">
        <v>44405</v>
      </c>
      <c r="I304" t="b">
        <v>0</v>
      </c>
      <c r="J304">
        <v>29</v>
      </c>
      <c r="K304" s="1">
        <v>44446</v>
      </c>
      <c r="L304">
        <v>12.49</v>
      </c>
      <c r="M304" s="1">
        <v>44873</v>
      </c>
      <c r="N304">
        <v>20.010000000000002</v>
      </c>
      <c r="O304" s="1">
        <v>45953</v>
      </c>
      <c r="P304">
        <v>1066</v>
      </c>
      <c r="Q304" t="s">
        <v>21</v>
      </c>
      <c r="R304" t="str">
        <f t="shared" si="8"/>
        <v>has not made new highs</v>
      </c>
      <c r="S304" s="15">
        <f t="shared" si="9"/>
        <v>1.3218574859887908</v>
      </c>
    </row>
    <row r="305" spans="1:19" x14ac:dyDescent="0.35">
      <c r="A305" t="s">
        <v>754</v>
      </c>
      <c r="B305" t="s">
        <v>754</v>
      </c>
      <c r="C305" t="s">
        <v>755</v>
      </c>
      <c r="D305" t="s">
        <v>84</v>
      </c>
      <c r="E305">
        <v>5712</v>
      </c>
      <c r="F305" t="s">
        <v>756</v>
      </c>
      <c r="G305" s="1">
        <v>44504</v>
      </c>
      <c r="H305" s="1">
        <v>44504</v>
      </c>
      <c r="I305" t="b">
        <v>0</v>
      </c>
      <c r="J305">
        <v>19.809999999999999</v>
      </c>
      <c r="K305" s="1">
        <v>45450</v>
      </c>
      <c r="L305">
        <v>4.2300000000000004</v>
      </c>
      <c r="M305" s="1">
        <v>44747</v>
      </c>
      <c r="N305">
        <v>8.59</v>
      </c>
      <c r="O305" s="1">
        <v>46204</v>
      </c>
      <c r="P305">
        <v>1167</v>
      </c>
      <c r="Q305" t="s">
        <v>21</v>
      </c>
      <c r="R305" t="str">
        <f t="shared" si="8"/>
        <v>has made new highs</v>
      </c>
      <c r="S305" s="15">
        <f t="shared" si="9"/>
        <v>3.68321513002364</v>
      </c>
    </row>
    <row r="306" spans="1:19" x14ac:dyDescent="0.35">
      <c r="A306" t="s">
        <v>757</v>
      </c>
      <c r="B306" t="s">
        <v>757</v>
      </c>
      <c r="C306" t="s">
        <v>758</v>
      </c>
      <c r="D306" t="s">
        <v>45</v>
      </c>
      <c r="E306">
        <v>6331</v>
      </c>
      <c r="F306" t="s">
        <v>490</v>
      </c>
      <c r="G306" s="1">
        <v>45435</v>
      </c>
      <c r="H306" s="1">
        <v>45435</v>
      </c>
      <c r="I306" t="b">
        <v>0</v>
      </c>
      <c r="J306">
        <v>42.29</v>
      </c>
      <c r="K306" s="1">
        <v>45744</v>
      </c>
      <c r="L306">
        <v>21.21</v>
      </c>
      <c r="M306" s="1">
        <v>46101</v>
      </c>
      <c r="N306">
        <v>31.2</v>
      </c>
      <c r="O306" s="1">
        <v>46204</v>
      </c>
      <c r="P306">
        <v>527</v>
      </c>
      <c r="Q306" t="s">
        <v>21</v>
      </c>
      <c r="R306" t="str">
        <f t="shared" si="8"/>
        <v>has not made new highs</v>
      </c>
      <c r="S306" s="15">
        <f t="shared" si="9"/>
        <v>0.99387081565299373</v>
      </c>
    </row>
    <row r="307" spans="1:19" x14ac:dyDescent="0.35">
      <c r="A307" t="s">
        <v>759</v>
      </c>
      <c r="B307" t="s">
        <v>759</v>
      </c>
      <c r="C307" t="s">
        <v>760</v>
      </c>
      <c r="D307" t="s">
        <v>45</v>
      </c>
      <c r="E307">
        <v>7372</v>
      </c>
      <c r="F307" t="s">
        <v>20</v>
      </c>
      <c r="G307" s="1">
        <v>44189</v>
      </c>
      <c r="H307" s="1">
        <v>44379</v>
      </c>
      <c r="I307" t="b">
        <v>1</v>
      </c>
      <c r="J307">
        <v>27.5</v>
      </c>
      <c r="K307" s="1">
        <v>44516</v>
      </c>
      <c r="L307">
        <v>0.495</v>
      </c>
      <c r="M307" s="1">
        <v>45224</v>
      </c>
      <c r="N307">
        <v>15.98</v>
      </c>
      <c r="O307" s="1">
        <v>46204</v>
      </c>
      <c r="P307">
        <v>1254</v>
      </c>
      <c r="Q307" t="s">
        <v>21</v>
      </c>
      <c r="R307" t="str">
        <f t="shared" si="8"/>
        <v>has not made new highs</v>
      </c>
      <c r="S307" s="15">
        <f t="shared" si="9"/>
        <v>54.555555555555557</v>
      </c>
    </row>
    <row r="308" spans="1:19" x14ac:dyDescent="0.35">
      <c r="A308" t="s">
        <v>761</v>
      </c>
      <c r="B308" t="s">
        <v>762</v>
      </c>
      <c r="C308" t="s">
        <v>763</v>
      </c>
      <c r="D308" t="s">
        <v>68</v>
      </c>
      <c r="G308" s="1">
        <v>44057</v>
      </c>
      <c r="H308" s="1">
        <v>44379</v>
      </c>
      <c r="I308" t="b">
        <v>1</v>
      </c>
      <c r="J308">
        <v>75.680000000000007</v>
      </c>
      <c r="K308" s="1">
        <v>44434</v>
      </c>
      <c r="L308">
        <v>2.2149999999999999</v>
      </c>
      <c r="M308" s="1">
        <v>45407</v>
      </c>
      <c r="N308">
        <v>4.66</v>
      </c>
      <c r="O308" s="1">
        <v>46027</v>
      </c>
      <c r="P308">
        <v>1132</v>
      </c>
      <c r="Q308" t="s">
        <v>21</v>
      </c>
      <c r="R308" t="str">
        <f t="shared" si="8"/>
        <v>has not made new highs</v>
      </c>
      <c r="S308" s="15">
        <f t="shared" si="9"/>
        <v>33.167042889390522</v>
      </c>
    </row>
    <row r="309" spans="1:19" x14ac:dyDescent="0.35">
      <c r="A309" t="s">
        <v>764</v>
      </c>
      <c r="B309" t="s">
        <v>764</v>
      </c>
      <c r="C309" t="s">
        <v>765</v>
      </c>
      <c r="D309" t="s">
        <v>68</v>
      </c>
      <c r="E309">
        <v>2834</v>
      </c>
      <c r="F309" t="s">
        <v>157</v>
      </c>
      <c r="G309" s="1">
        <v>44960</v>
      </c>
      <c r="H309" s="1">
        <v>44960</v>
      </c>
      <c r="I309" t="b">
        <v>0</v>
      </c>
      <c r="J309">
        <v>94.9</v>
      </c>
      <c r="K309" s="1">
        <v>45999</v>
      </c>
      <c r="L309">
        <v>13.22</v>
      </c>
      <c r="M309" s="1">
        <v>45756</v>
      </c>
      <c r="N309">
        <v>52.12</v>
      </c>
      <c r="O309" s="1">
        <v>46204</v>
      </c>
      <c r="P309">
        <v>854</v>
      </c>
      <c r="Q309" t="s">
        <v>21</v>
      </c>
      <c r="R309" t="str">
        <f t="shared" si="8"/>
        <v>has made new highs</v>
      </c>
      <c r="S309" s="15">
        <f t="shared" si="9"/>
        <v>6.1785173978819969</v>
      </c>
    </row>
    <row r="310" spans="1:19" x14ac:dyDescent="0.35">
      <c r="A310" t="s">
        <v>766</v>
      </c>
      <c r="B310" t="s">
        <v>766</v>
      </c>
      <c r="C310" t="s">
        <v>767</v>
      </c>
      <c r="D310" t="s">
        <v>24</v>
      </c>
      <c r="E310">
        <v>1311</v>
      </c>
      <c r="F310" t="s">
        <v>87</v>
      </c>
      <c r="G310" s="1">
        <v>43389</v>
      </c>
      <c r="H310" s="1">
        <v>45278</v>
      </c>
      <c r="I310" t="b">
        <v>1</v>
      </c>
      <c r="J310">
        <v>18.899999999999999</v>
      </c>
      <c r="K310" s="1">
        <v>46112</v>
      </c>
      <c r="L310">
        <v>10.08</v>
      </c>
      <c r="M310" s="1">
        <v>45756</v>
      </c>
      <c r="N310">
        <v>13.57</v>
      </c>
      <c r="O310" s="1">
        <v>46204</v>
      </c>
      <c r="P310">
        <v>635</v>
      </c>
      <c r="Q310" t="s">
        <v>21</v>
      </c>
      <c r="R310" t="str">
        <f t="shared" si="8"/>
        <v>has made new highs</v>
      </c>
      <c r="S310" s="15">
        <f t="shared" si="9"/>
        <v>0.87499999999999989</v>
      </c>
    </row>
    <row r="311" spans="1:19" x14ac:dyDescent="0.35">
      <c r="A311" t="s">
        <v>768</v>
      </c>
      <c r="B311" t="s">
        <v>769</v>
      </c>
      <c r="C311" t="s">
        <v>770</v>
      </c>
      <c r="D311" t="s">
        <v>27</v>
      </c>
      <c r="E311">
        <v>7372</v>
      </c>
      <c r="F311" t="s">
        <v>20</v>
      </c>
      <c r="G311" s="1">
        <v>44034</v>
      </c>
      <c r="H311" s="1">
        <v>44379</v>
      </c>
      <c r="I311" t="b">
        <v>1</v>
      </c>
      <c r="J311">
        <v>49.27</v>
      </c>
      <c r="K311" s="1">
        <v>44508</v>
      </c>
      <c r="L311">
        <v>7.085</v>
      </c>
      <c r="M311" s="1">
        <v>45876</v>
      </c>
      <c r="N311">
        <v>13.05</v>
      </c>
      <c r="O311" s="1">
        <v>46051</v>
      </c>
      <c r="P311">
        <v>1149</v>
      </c>
      <c r="Q311" t="s">
        <v>21</v>
      </c>
      <c r="R311" t="str">
        <f t="shared" si="8"/>
        <v>has not made new highs</v>
      </c>
      <c r="S311" s="15">
        <f t="shared" si="9"/>
        <v>5.954128440366973</v>
      </c>
    </row>
    <row r="312" spans="1:19" x14ac:dyDescent="0.35">
      <c r="A312" t="s">
        <v>771</v>
      </c>
      <c r="B312" t="s">
        <v>771</v>
      </c>
      <c r="C312" t="s">
        <v>772</v>
      </c>
      <c r="D312" t="s">
        <v>27</v>
      </c>
      <c r="G312" s="1">
        <v>44398</v>
      </c>
      <c r="H312" s="1">
        <v>44398</v>
      </c>
      <c r="I312" t="b">
        <v>0</v>
      </c>
      <c r="J312">
        <v>33.36</v>
      </c>
      <c r="K312" s="1">
        <v>44418</v>
      </c>
      <c r="L312">
        <v>2.66</v>
      </c>
      <c r="M312" s="1">
        <v>44756</v>
      </c>
      <c r="N312">
        <v>4.18</v>
      </c>
      <c r="O312" s="1">
        <v>46204</v>
      </c>
      <c r="P312">
        <v>1242</v>
      </c>
      <c r="Q312" t="s">
        <v>21</v>
      </c>
      <c r="R312" t="str">
        <f t="shared" si="8"/>
        <v>has not made new highs</v>
      </c>
      <c r="S312" s="15">
        <f t="shared" si="9"/>
        <v>11.541353383458645</v>
      </c>
    </row>
    <row r="313" spans="1:19" x14ac:dyDescent="0.35">
      <c r="A313" t="s">
        <v>773</v>
      </c>
      <c r="B313" t="s">
        <v>773</v>
      </c>
      <c r="C313" t="s">
        <v>774</v>
      </c>
      <c r="D313" t="s">
        <v>64</v>
      </c>
      <c r="E313">
        <v>8351</v>
      </c>
      <c r="F313" t="s">
        <v>775</v>
      </c>
      <c r="G313" s="1">
        <v>45574</v>
      </c>
      <c r="H313" s="1">
        <v>45574</v>
      </c>
      <c r="I313" t="b">
        <v>0</v>
      </c>
      <c r="J313">
        <v>29.89</v>
      </c>
      <c r="K313" s="1">
        <v>45596</v>
      </c>
      <c r="L313">
        <v>1.75</v>
      </c>
      <c r="M313" s="1">
        <v>46097</v>
      </c>
      <c r="N313">
        <v>4.8</v>
      </c>
      <c r="O313" s="1">
        <v>46204</v>
      </c>
      <c r="P313">
        <v>432</v>
      </c>
      <c r="Q313" t="s">
        <v>21</v>
      </c>
      <c r="R313" t="str">
        <f t="shared" si="8"/>
        <v>has not made new highs</v>
      </c>
      <c r="S313" s="15">
        <f t="shared" si="9"/>
        <v>16.080000000000002</v>
      </c>
    </row>
    <row r="314" spans="1:19" x14ac:dyDescent="0.35">
      <c r="A314" t="s">
        <v>776</v>
      </c>
      <c r="B314" t="s">
        <v>776</v>
      </c>
      <c r="C314" t="s">
        <v>777</v>
      </c>
      <c r="D314" t="s">
        <v>84</v>
      </c>
      <c r="E314">
        <v>3442</v>
      </c>
      <c r="F314" t="s">
        <v>778</v>
      </c>
      <c r="G314" s="1">
        <v>44355</v>
      </c>
      <c r="H314" s="1">
        <v>44379</v>
      </c>
      <c r="I314" t="b">
        <v>1</v>
      </c>
      <c r="J314">
        <v>15.94</v>
      </c>
      <c r="K314" s="1">
        <v>44442</v>
      </c>
      <c r="L314">
        <v>4.26</v>
      </c>
      <c r="M314" s="1">
        <v>46154</v>
      </c>
      <c r="N314">
        <v>5.42</v>
      </c>
      <c r="O314" s="1">
        <v>46204</v>
      </c>
      <c r="P314">
        <v>1254</v>
      </c>
      <c r="Q314" t="s">
        <v>21</v>
      </c>
      <c r="R314" t="str">
        <f t="shared" si="8"/>
        <v>has not made new highs</v>
      </c>
      <c r="S314" s="15">
        <f t="shared" si="9"/>
        <v>2.7417840375586855</v>
      </c>
    </row>
    <row r="315" spans="1:19" x14ac:dyDescent="0.35">
      <c r="A315" t="s">
        <v>779</v>
      </c>
      <c r="B315" t="s">
        <v>779</v>
      </c>
      <c r="C315" t="s">
        <v>780</v>
      </c>
      <c r="D315" t="s">
        <v>45</v>
      </c>
      <c r="E315">
        <v>6036</v>
      </c>
      <c r="F315" t="s">
        <v>781</v>
      </c>
      <c r="G315" s="1">
        <v>35879</v>
      </c>
      <c r="H315" s="1">
        <v>45902</v>
      </c>
      <c r="I315" t="b">
        <v>1</v>
      </c>
      <c r="J315">
        <v>32.83</v>
      </c>
      <c r="K315" s="1">
        <v>46129</v>
      </c>
      <c r="L315">
        <v>22.81</v>
      </c>
      <c r="M315" s="1">
        <v>45960</v>
      </c>
      <c r="N315">
        <v>30.86</v>
      </c>
      <c r="O315" s="1">
        <v>46204</v>
      </c>
      <c r="P315">
        <v>209</v>
      </c>
      <c r="Q315" t="s">
        <v>21</v>
      </c>
      <c r="R315" t="str">
        <f t="shared" si="8"/>
        <v>has made new highs</v>
      </c>
      <c r="S315" s="15">
        <f t="shared" si="9"/>
        <v>0.43928101709776413</v>
      </c>
    </row>
    <row r="316" spans="1:19" x14ac:dyDescent="0.35">
      <c r="A316" t="s">
        <v>782</v>
      </c>
      <c r="B316" t="s">
        <v>782</v>
      </c>
      <c r="C316" t="s">
        <v>783</v>
      </c>
      <c r="D316" t="s">
        <v>45</v>
      </c>
      <c r="E316">
        <v>6282</v>
      </c>
      <c r="F316" t="s">
        <v>49</v>
      </c>
      <c r="G316" s="1">
        <v>44490</v>
      </c>
      <c r="H316" s="1">
        <v>46064</v>
      </c>
      <c r="I316" t="b">
        <v>1</v>
      </c>
      <c r="J316">
        <v>11.29</v>
      </c>
      <c r="K316" s="1">
        <v>46064</v>
      </c>
      <c r="L316">
        <v>6.79</v>
      </c>
      <c r="M316" s="1">
        <v>46114</v>
      </c>
      <c r="N316">
        <v>7.86</v>
      </c>
      <c r="O316" s="1">
        <v>46204</v>
      </c>
      <c r="P316">
        <v>97</v>
      </c>
      <c r="Q316" t="s">
        <v>21</v>
      </c>
      <c r="R316" t="str">
        <f t="shared" si="8"/>
        <v>has not made new highs</v>
      </c>
      <c r="S316" s="15">
        <f t="shared" si="9"/>
        <v>0.66273932253313683</v>
      </c>
    </row>
    <row r="317" spans="1:19" x14ac:dyDescent="0.35">
      <c r="A317" t="s">
        <v>784</v>
      </c>
      <c r="B317" t="s">
        <v>784</v>
      </c>
      <c r="C317" t="s">
        <v>785</v>
      </c>
      <c r="D317" t="s">
        <v>30</v>
      </c>
      <c r="E317">
        <v>3690</v>
      </c>
      <c r="F317" t="s">
        <v>412</v>
      </c>
      <c r="G317" s="1">
        <v>44497</v>
      </c>
      <c r="H317" s="1">
        <v>44497</v>
      </c>
      <c r="I317" t="b">
        <v>0</v>
      </c>
      <c r="J317">
        <v>39.4</v>
      </c>
      <c r="K317" s="1">
        <v>44515</v>
      </c>
      <c r="L317">
        <v>3.46</v>
      </c>
      <c r="M317" s="1">
        <v>45768</v>
      </c>
      <c r="N317">
        <v>18.36</v>
      </c>
      <c r="O317" s="1">
        <v>46204</v>
      </c>
      <c r="P317">
        <v>1172</v>
      </c>
      <c r="Q317" t="s">
        <v>21</v>
      </c>
      <c r="R317" t="str">
        <f t="shared" si="8"/>
        <v>has not made new highs</v>
      </c>
      <c r="S317" s="15">
        <f t="shared" si="9"/>
        <v>10.38728323699422</v>
      </c>
    </row>
    <row r="318" spans="1:19" x14ac:dyDescent="0.35">
      <c r="A318" t="s">
        <v>786</v>
      </c>
      <c r="B318" t="s">
        <v>786</v>
      </c>
      <c r="C318" t="s">
        <v>787</v>
      </c>
      <c r="D318" t="s">
        <v>27</v>
      </c>
      <c r="G318" s="1">
        <v>44104</v>
      </c>
      <c r="H318" s="1">
        <v>44379</v>
      </c>
      <c r="I318" t="b">
        <v>1</v>
      </c>
      <c r="J318">
        <v>18.899999999999999</v>
      </c>
      <c r="K318" s="1">
        <v>44379</v>
      </c>
      <c r="L318">
        <v>3</v>
      </c>
      <c r="M318" s="1">
        <v>44859</v>
      </c>
      <c r="N318">
        <v>5.6</v>
      </c>
      <c r="O318" s="1">
        <v>46204</v>
      </c>
      <c r="P318">
        <v>1254</v>
      </c>
      <c r="Q318" t="s">
        <v>21</v>
      </c>
      <c r="R318" t="str">
        <f t="shared" si="8"/>
        <v>has not made new highs</v>
      </c>
      <c r="S318" s="15">
        <f t="shared" si="9"/>
        <v>5.3</v>
      </c>
    </row>
    <row r="319" spans="1:19" x14ac:dyDescent="0.35">
      <c r="A319" t="s">
        <v>788</v>
      </c>
      <c r="B319" t="s">
        <v>788</v>
      </c>
      <c r="C319" t="s">
        <v>789</v>
      </c>
      <c r="D319" t="s">
        <v>27</v>
      </c>
      <c r="E319">
        <v>7310</v>
      </c>
      <c r="F319" t="s">
        <v>790</v>
      </c>
      <c r="G319" s="1">
        <v>45400</v>
      </c>
      <c r="H319" s="1">
        <v>45400</v>
      </c>
      <c r="I319" t="b">
        <v>0</v>
      </c>
      <c r="J319">
        <v>117.59</v>
      </c>
      <c r="K319" s="1">
        <v>45400</v>
      </c>
      <c r="L319">
        <v>19.100000000000001</v>
      </c>
      <c r="M319" s="1">
        <v>46058</v>
      </c>
      <c r="N319">
        <v>35.909999999999997</v>
      </c>
      <c r="O319" s="1">
        <v>46204</v>
      </c>
      <c r="P319">
        <v>552</v>
      </c>
      <c r="Q319" t="s">
        <v>21</v>
      </c>
      <c r="R319" t="str">
        <f t="shared" si="8"/>
        <v>has not made new highs</v>
      </c>
      <c r="S319" s="15">
        <f t="shared" si="9"/>
        <v>5.156544502617801</v>
      </c>
    </row>
    <row r="320" spans="1:19" x14ac:dyDescent="0.35">
      <c r="A320" t="s">
        <v>791</v>
      </c>
      <c r="B320" t="s">
        <v>791</v>
      </c>
      <c r="C320" t="s">
        <v>792</v>
      </c>
      <c r="D320" t="s">
        <v>68</v>
      </c>
      <c r="E320">
        <v>2834</v>
      </c>
      <c r="F320" t="s">
        <v>157</v>
      </c>
      <c r="G320" s="1">
        <v>44091</v>
      </c>
      <c r="H320" s="1">
        <v>44379</v>
      </c>
      <c r="I320" t="b">
        <v>1</v>
      </c>
      <c r="J320">
        <v>47.45</v>
      </c>
      <c r="K320" s="1">
        <v>45524</v>
      </c>
      <c r="L320">
        <v>4.3</v>
      </c>
      <c r="M320" s="1">
        <v>44714</v>
      </c>
      <c r="N320">
        <v>21.79</v>
      </c>
      <c r="O320" s="1">
        <v>46204</v>
      </c>
      <c r="P320">
        <v>1254</v>
      </c>
      <c r="Q320" t="s">
        <v>21</v>
      </c>
      <c r="R320" t="str">
        <f t="shared" si="8"/>
        <v>has made new highs</v>
      </c>
      <c r="S320" s="15">
        <f t="shared" si="9"/>
        <v>10.034883720930234</v>
      </c>
    </row>
    <row r="321" spans="1:19" x14ac:dyDescent="0.35">
      <c r="A321" t="s">
        <v>793</v>
      </c>
      <c r="B321" t="s">
        <v>794</v>
      </c>
      <c r="C321" t="s">
        <v>795</v>
      </c>
      <c r="D321" t="s">
        <v>27</v>
      </c>
      <c r="E321">
        <v>8200</v>
      </c>
      <c r="F321" t="s">
        <v>796</v>
      </c>
      <c r="G321" s="1">
        <v>44498</v>
      </c>
      <c r="H321" s="1">
        <v>44498</v>
      </c>
      <c r="I321" t="b">
        <v>0</v>
      </c>
      <c r="J321">
        <v>32.619999999999997</v>
      </c>
      <c r="K321" s="1">
        <v>44519</v>
      </c>
      <c r="L321">
        <v>4.0199999999999996</v>
      </c>
      <c r="M321" s="1">
        <v>46136</v>
      </c>
      <c r="N321">
        <v>4.63</v>
      </c>
      <c r="O321" s="1">
        <v>46150</v>
      </c>
      <c r="P321">
        <v>1135</v>
      </c>
      <c r="Q321" t="s">
        <v>21</v>
      </c>
      <c r="R321" t="str">
        <f t="shared" ref="R321:R324" si="10">IF(K321&gt;M321,"has made new highs","has not made new highs")</f>
        <v>has not made new highs</v>
      </c>
      <c r="S321" s="15">
        <f t="shared" ref="S321:S324" si="11">(J321-L321)/L321</f>
        <v>7.1144278606965177</v>
      </c>
    </row>
    <row r="322" spans="1:19" x14ac:dyDescent="0.35">
      <c r="A322" t="s">
        <v>797</v>
      </c>
      <c r="B322" t="s">
        <v>797</v>
      </c>
      <c r="C322" t="s">
        <v>798</v>
      </c>
      <c r="D322" t="s">
        <v>27</v>
      </c>
      <c r="E322">
        <v>3577</v>
      </c>
      <c r="F322" t="s">
        <v>799</v>
      </c>
      <c r="G322" s="1">
        <v>44396</v>
      </c>
      <c r="H322" s="1">
        <v>44396</v>
      </c>
      <c r="I322" t="b">
        <v>0</v>
      </c>
      <c r="J322">
        <v>12.9</v>
      </c>
      <c r="K322" s="1">
        <v>44396</v>
      </c>
      <c r="L322">
        <v>1.57</v>
      </c>
      <c r="M322" s="1">
        <v>44635</v>
      </c>
      <c r="N322">
        <v>6.37</v>
      </c>
      <c r="O322" s="1">
        <v>46204</v>
      </c>
      <c r="P322">
        <v>1244</v>
      </c>
      <c r="Q322" t="s">
        <v>21</v>
      </c>
      <c r="R322" t="str">
        <f t="shared" si="10"/>
        <v>has not made new highs</v>
      </c>
      <c r="S322" s="15">
        <f t="shared" si="11"/>
        <v>7.2165605095541396</v>
      </c>
    </row>
    <row r="323" spans="1:19" x14ac:dyDescent="0.35">
      <c r="A323" t="s">
        <v>800</v>
      </c>
      <c r="B323" t="s">
        <v>800</v>
      </c>
      <c r="C323" t="s">
        <v>801</v>
      </c>
      <c r="D323" t="s">
        <v>105</v>
      </c>
      <c r="E323">
        <v>1000</v>
      </c>
      <c r="F323" t="s">
        <v>329</v>
      </c>
      <c r="G323" s="1">
        <v>45730</v>
      </c>
      <c r="H323" s="1">
        <v>45730</v>
      </c>
      <c r="I323" t="b">
        <v>0</v>
      </c>
      <c r="J323">
        <v>43.98</v>
      </c>
      <c r="K323" s="1">
        <v>45943</v>
      </c>
      <c r="L323">
        <v>5.56</v>
      </c>
      <c r="M323" s="1">
        <v>45743</v>
      </c>
      <c r="N323">
        <v>19.98</v>
      </c>
      <c r="O323" s="1">
        <v>46204</v>
      </c>
      <c r="P323">
        <v>326</v>
      </c>
      <c r="Q323" t="s">
        <v>21</v>
      </c>
      <c r="R323" t="str">
        <f t="shared" si="10"/>
        <v>has made new highs</v>
      </c>
      <c r="S323" s="15">
        <f t="shared" si="11"/>
        <v>6.9100719424460424</v>
      </c>
    </row>
    <row r="324" spans="1:19" x14ac:dyDescent="0.35">
      <c r="A324" t="s">
        <v>802</v>
      </c>
      <c r="B324" t="s">
        <v>803</v>
      </c>
      <c r="C324" t="s">
        <v>804</v>
      </c>
      <c r="D324" t="s">
        <v>68</v>
      </c>
      <c r="E324">
        <v>2834</v>
      </c>
      <c r="F324" t="s">
        <v>157</v>
      </c>
      <c r="G324" s="1">
        <v>44364</v>
      </c>
      <c r="H324" s="1">
        <v>44379</v>
      </c>
      <c r="I324" t="b">
        <v>1</v>
      </c>
      <c r="J324">
        <v>78</v>
      </c>
      <c r="K324" s="1">
        <v>44446</v>
      </c>
      <c r="L324">
        <v>2.8647</v>
      </c>
      <c r="M324" s="1">
        <v>45756</v>
      </c>
      <c r="N324">
        <v>11.13</v>
      </c>
      <c r="O324" s="1">
        <v>45862</v>
      </c>
      <c r="P324">
        <v>1019</v>
      </c>
      <c r="Q324" t="s">
        <v>21</v>
      </c>
      <c r="R324" t="str">
        <f t="shared" si="10"/>
        <v>has not made new highs</v>
      </c>
      <c r="S324" s="15">
        <f t="shared" si="11"/>
        <v>26.227981987642686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Detail1</vt:lpstr>
      <vt:lpstr>Detail2</vt:lpstr>
      <vt:lpstr>Detail3</vt:lpstr>
      <vt:lpstr>Pivot</vt:lpstr>
      <vt:lpstr>Sheet2</vt:lpstr>
      <vt:lpstr>polygon_ipo_dry_run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Vu</dc:creator>
  <cp:lastModifiedBy>Vu, Long Bao</cp:lastModifiedBy>
  <dcterms:created xsi:type="dcterms:W3CDTF">2026-07-01T21:12:31Z</dcterms:created>
  <dcterms:modified xsi:type="dcterms:W3CDTF">2026-07-01T21:13:58Z</dcterms:modified>
</cp:coreProperties>
</file>